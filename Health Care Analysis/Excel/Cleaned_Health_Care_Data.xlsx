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F4E3D59-F79B-4FCF-BF98-B86E3C3E9F5F}" xr6:coauthVersionLast="47" xr6:coauthVersionMax="47" xr10:uidLastSave="{00000000-0000-0000-0000-000000000000}"/>
  <bookViews>
    <workbookView xWindow="-120" yWindow="-120" windowWidth="20730" windowHeight="11310" xr2:uid="{03895C73-8A81-4117-829D-FA210BE0BA0E}"/>
  </bookViews>
  <sheets>
    <sheet name="Sheet1" sheetId="1" r:id="rId1"/>
  </sheets>
  <definedNames>
    <definedName name="ExternalData_2" localSheetId="0" hidden="1">Sheet1!$A$1:$M$892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92" i="1" l="1"/>
  <c r="I892" i="1"/>
  <c r="H892" i="1"/>
  <c r="G892" i="1"/>
  <c r="O891" i="1"/>
  <c r="I891" i="1"/>
  <c r="H891" i="1"/>
  <c r="G891" i="1"/>
  <c r="O890" i="1"/>
  <c r="I890" i="1"/>
  <c r="H890" i="1"/>
  <c r="G890" i="1"/>
  <c r="O889" i="1"/>
  <c r="I889" i="1"/>
  <c r="H889" i="1"/>
  <c r="G889" i="1"/>
  <c r="O888" i="1"/>
  <c r="I888" i="1"/>
  <c r="H888" i="1"/>
  <c r="G888" i="1"/>
  <c r="O887" i="1"/>
  <c r="I887" i="1"/>
  <c r="H887" i="1"/>
  <c r="G887" i="1"/>
  <c r="O886" i="1"/>
  <c r="I886" i="1"/>
  <c r="H886" i="1"/>
  <c r="G886" i="1"/>
  <c r="O885" i="1"/>
  <c r="I885" i="1"/>
  <c r="H885" i="1"/>
  <c r="G885" i="1"/>
  <c r="O884" i="1"/>
  <c r="I884" i="1"/>
  <c r="H884" i="1"/>
  <c r="G884" i="1"/>
  <c r="O883" i="1"/>
  <c r="I883" i="1"/>
  <c r="H883" i="1"/>
  <c r="G883" i="1"/>
  <c r="O882" i="1"/>
  <c r="I882" i="1"/>
  <c r="H882" i="1"/>
  <c r="G882" i="1"/>
  <c r="O881" i="1"/>
  <c r="I881" i="1"/>
  <c r="H881" i="1"/>
  <c r="G881" i="1"/>
  <c r="O880" i="1"/>
  <c r="I880" i="1"/>
  <c r="H880" i="1"/>
  <c r="G880" i="1"/>
  <c r="O879" i="1"/>
  <c r="I879" i="1"/>
  <c r="H879" i="1"/>
  <c r="G879" i="1"/>
  <c r="O878" i="1"/>
  <c r="I878" i="1"/>
  <c r="H878" i="1"/>
  <c r="G878" i="1"/>
  <c r="O877" i="1"/>
  <c r="I877" i="1"/>
  <c r="H877" i="1"/>
  <c r="G877" i="1"/>
  <c r="O876" i="1"/>
  <c r="I876" i="1"/>
  <c r="H876" i="1"/>
  <c r="G876" i="1"/>
  <c r="O875" i="1"/>
  <c r="I875" i="1"/>
  <c r="H875" i="1"/>
  <c r="G875" i="1"/>
  <c r="O874" i="1"/>
  <c r="I874" i="1"/>
  <c r="H874" i="1"/>
  <c r="G874" i="1"/>
  <c r="O873" i="1"/>
  <c r="I873" i="1"/>
  <c r="H873" i="1"/>
  <c r="G873" i="1"/>
  <c r="O872" i="1"/>
  <c r="I872" i="1"/>
  <c r="H872" i="1"/>
  <c r="G872" i="1"/>
  <c r="O871" i="1"/>
  <c r="I871" i="1"/>
  <c r="H871" i="1"/>
  <c r="G871" i="1"/>
  <c r="O870" i="1"/>
  <c r="I870" i="1"/>
  <c r="H870" i="1"/>
  <c r="G870" i="1"/>
  <c r="O869" i="1"/>
  <c r="I869" i="1"/>
  <c r="H869" i="1"/>
  <c r="G869" i="1"/>
  <c r="O868" i="1"/>
  <c r="I868" i="1"/>
  <c r="H868" i="1"/>
  <c r="G868" i="1"/>
  <c r="O867" i="1"/>
  <c r="I867" i="1"/>
  <c r="H867" i="1"/>
  <c r="G867" i="1"/>
  <c r="O866" i="1"/>
  <c r="I866" i="1"/>
  <c r="H866" i="1"/>
  <c r="G866" i="1"/>
  <c r="O865" i="1"/>
  <c r="I865" i="1"/>
  <c r="H865" i="1"/>
  <c r="G865" i="1"/>
  <c r="O864" i="1"/>
  <c r="I864" i="1"/>
  <c r="H864" i="1"/>
  <c r="G864" i="1"/>
  <c r="O863" i="1"/>
  <c r="I863" i="1"/>
  <c r="H863" i="1"/>
  <c r="G863" i="1"/>
  <c r="O862" i="1"/>
  <c r="I862" i="1"/>
  <c r="H862" i="1"/>
  <c r="G862" i="1"/>
  <c r="O861" i="1"/>
  <c r="I861" i="1"/>
  <c r="H861" i="1"/>
  <c r="G861" i="1"/>
  <c r="O860" i="1"/>
  <c r="I860" i="1"/>
  <c r="H860" i="1"/>
  <c r="G860" i="1"/>
  <c r="O859" i="1"/>
  <c r="I859" i="1"/>
  <c r="H859" i="1"/>
  <c r="G859" i="1"/>
  <c r="O858" i="1"/>
  <c r="I858" i="1"/>
  <c r="H858" i="1"/>
  <c r="G858" i="1"/>
  <c r="O857" i="1"/>
  <c r="I857" i="1"/>
  <c r="H857" i="1"/>
  <c r="G857" i="1"/>
  <c r="O856" i="1"/>
  <c r="I856" i="1"/>
  <c r="H856" i="1"/>
  <c r="G856" i="1"/>
  <c r="O855" i="1"/>
  <c r="I855" i="1"/>
  <c r="H855" i="1"/>
  <c r="G855" i="1"/>
  <c r="O854" i="1"/>
  <c r="I854" i="1"/>
  <c r="H854" i="1"/>
  <c r="G854" i="1"/>
  <c r="O853" i="1"/>
  <c r="I853" i="1"/>
  <c r="H853" i="1"/>
  <c r="G853" i="1"/>
  <c r="O852" i="1"/>
  <c r="I852" i="1"/>
  <c r="H852" i="1"/>
  <c r="G852" i="1"/>
  <c r="O851" i="1"/>
  <c r="I851" i="1"/>
  <c r="H851" i="1"/>
  <c r="G851" i="1"/>
  <c r="O850" i="1"/>
  <c r="I850" i="1"/>
  <c r="H850" i="1"/>
  <c r="G850" i="1"/>
  <c r="O849" i="1"/>
  <c r="I849" i="1"/>
  <c r="H849" i="1"/>
  <c r="G849" i="1"/>
  <c r="O848" i="1"/>
  <c r="I848" i="1"/>
  <c r="H848" i="1"/>
  <c r="G848" i="1"/>
  <c r="O847" i="1"/>
  <c r="I847" i="1"/>
  <c r="H847" i="1"/>
  <c r="G847" i="1"/>
  <c r="O846" i="1"/>
  <c r="I846" i="1"/>
  <c r="H846" i="1"/>
  <c r="G846" i="1"/>
  <c r="O845" i="1"/>
  <c r="I845" i="1"/>
  <c r="H845" i="1"/>
  <c r="G845" i="1"/>
  <c r="O844" i="1"/>
  <c r="I844" i="1"/>
  <c r="H844" i="1"/>
  <c r="G844" i="1"/>
  <c r="O843" i="1"/>
  <c r="I843" i="1"/>
  <c r="H843" i="1"/>
  <c r="G843" i="1"/>
  <c r="O842" i="1"/>
  <c r="I842" i="1"/>
  <c r="H842" i="1"/>
  <c r="G842" i="1"/>
  <c r="O841" i="1"/>
  <c r="I841" i="1"/>
  <c r="H841" i="1"/>
  <c r="G841" i="1"/>
  <c r="O840" i="1"/>
  <c r="I840" i="1"/>
  <c r="H840" i="1"/>
  <c r="G840" i="1"/>
  <c r="O839" i="1"/>
  <c r="I839" i="1"/>
  <c r="H839" i="1"/>
  <c r="G839" i="1"/>
  <c r="O838" i="1"/>
  <c r="I838" i="1"/>
  <c r="H838" i="1"/>
  <c r="G838" i="1"/>
  <c r="O837" i="1"/>
  <c r="I837" i="1"/>
  <c r="H837" i="1"/>
  <c r="G837" i="1"/>
  <c r="O836" i="1"/>
  <c r="I836" i="1"/>
  <c r="H836" i="1"/>
  <c r="G836" i="1"/>
  <c r="O835" i="1"/>
  <c r="I835" i="1"/>
  <c r="H835" i="1"/>
  <c r="G835" i="1"/>
  <c r="O834" i="1"/>
  <c r="I834" i="1"/>
  <c r="H834" i="1"/>
  <c r="G834" i="1"/>
  <c r="O833" i="1"/>
  <c r="I833" i="1"/>
  <c r="H833" i="1"/>
  <c r="G833" i="1"/>
  <c r="O832" i="1"/>
  <c r="I832" i="1"/>
  <c r="H832" i="1"/>
  <c r="G832" i="1"/>
  <c r="O831" i="1"/>
  <c r="I831" i="1"/>
  <c r="H831" i="1"/>
  <c r="G831" i="1"/>
  <c r="O830" i="1"/>
  <c r="I830" i="1"/>
  <c r="H830" i="1"/>
  <c r="G830" i="1"/>
  <c r="O829" i="1"/>
  <c r="I829" i="1"/>
  <c r="H829" i="1"/>
  <c r="G829" i="1"/>
  <c r="O828" i="1"/>
  <c r="I828" i="1"/>
  <c r="H828" i="1"/>
  <c r="G828" i="1"/>
  <c r="O827" i="1"/>
  <c r="I827" i="1"/>
  <c r="H827" i="1"/>
  <c r="G827" i="1"/>
  <c r="O826" i="1"/>
  <c r="I826" i="1"/>
  <c r="H826" i="1"/>
  <c r="G826" i="1"/>
  <c r="O825" i="1"/>
  <c r="I825" i="1"/>
  <c r="H825" i="1"/>
  <c r="G825" i="1"/>
  <c r="O824" i="1"/>
  <c r="I824" i="1"/>
  <c r="H824" i="1"/>
  <c r="G824" i="1"/>
  <c r="O823" i="1"/>
  <c r="I823" i="1"/>
  <c r="H823" i="1"/>
  <c r="G823" i="1"/>
  <c r="O822" i="1"/>
  <c r="I822" i="1"/>
  <c r="H822" i="1"/>
  <c r="G822" i="1"/>
  <c r="O821" i="1"/>
  <c r="I821" i="1"/>
  <c r="H821" i="1"/>
  <c r="G821" i="1"/>
  <c r="O820" i="1"/>
  <c r="I820" i="1"/>
  <c r="H820" i="1"/>
  <c r="G820" i="1"/>
  <c r="O819" i="1"/>
  <c r="I819" i="1"/>
  <c r="H819" i="1"/>
  <c r="G819" i="1"/>
  <c r="O818" i="1"/>
  <c r="I818" i="1"/>
  <c r="H818" i="1"/>
  <c r="G818" i="1"/>
  <c r="O817" i="1"/>
  <c r="I817" i="1"/>
  <c r="H817" i="1"/>
  <c r="G817" i="1"/>
  <c r="O816" i="1"/>
  <c r="I816" i="1"/>
  <c r="H816" i="1"/>
  <c r="G816" i="1"/>
  <c r="O815" i="1"/>
  <c r="I815" i="1"/>
  <c r="H815" i="1"/>
  <c r="G815" i="1"/>
  <c r="O814" i="1"/>
  <c r="I814" i="1"/>
  <c r="H814" i="1"/>
  <c r="G814" i="1"/>
  <c r="O813" i="1"/>
  <c r="I813" i="1"/>
  <c r="H813" i="1"/>
  <c r="G813" i="1"/>
  <c r="O812" i="1"/>
  <c r="I812" i="1"/>
  <c r="H812" i="1"/>
  <c r="G812" i="1"/>
  <c r="O811" i="1"/>
  <c r="I811" i="1"/>
  <c r="H811" i="1"/>
  <c r="G811" i="1"/>
  <c r="O810" i="1"/>
  <c r="I810" i="1"/>
  <c r="H810" i="1"/>
  <c r="G810" i="1"/>
  <c r="O809" i="1"/>
  <c r="I809" i="1"/>
  <c r="H809" i="1"/>
  <c r="G809" i="1"/>
  <c r="O808" i="1"/>
  <c r="I808" i="1"/>
  <c r="H808" i="1"/>
  <c r="G808" i="1"/>
  <c r="O807" i="1"/>
  <c r="I807" i="1"/>
  <c r="H807" i="1"/>
  <c r="G807" i="1"/>
  <c r="O806" i="1"/>
  <c r="I806" i="1"/>
  <c r="H806" i="1"/>
  <c r="G806" i="1"/>
  <c r="O805" i="1"/>
  <c r="I805" i="1"/>
  <c r="H805" i="1"/>
  <c r="G805" i="1"/>
  <c r="O804" i="1"/>
  <c r="I804" i="1"/>
  <c r="H804" i="1"/>
  <c r="G804" i="1"/>
  <c r="O803" i="1"/>
  <c r="I803" i="1"/>
  <c r="H803" i="1"/>
  <c r="G803" i="1"/>
  <c r="O802" i="1"/>
  <c r="I802" i="1"/>
  <c r="H802" i="1"/>
  <c r="G802" i="1"/>
  <c r="O801" i="1"/>
  <c r="I801" i="1"/>
  <c r="H801" i="1"/>
  <c r="G801" i="1"/>
  <c r="O800" i="1"/>
  <c r="I800" i="1"/>
  <c r="H800" i="1"/>
  <c r="G800" i="1"/>
  <c r="O799" i="1"/>
  <c r="I799" i="1"/>
  <c r="H799" i="1"/>
  <c r="G799" i="1"/>
  <c r="O798" i="1"/>
  <c r="I798" i="1"/>
  <c r="H798" i="1"/>
  <c r="G798" i="1"/>
  <c r="O797" i="1"/>
  <c r="I797" i="1"/>
  <c r="H797" i="1"/>
  <c r="G797" i="1"/>
  <c r="O796" i="1"/>
  <c r="I796" i="1"/>
  <c r="H796" i="1"/>
  <c r="G796" i="1"/>
  <c r="O795" i="1"/>
  <c r="I795" i="1"/>
  <c r="H795" i="1"/>
  <c r="G795" i="1"/>
  <c r="O794" i="1"/>
  <c r="I794" i="1"/>
  <c r="H794" i="1"/>
  <c r="G794" i="1"/>
  <c r="O793" i="1"/>
  <c r="I793" i="1"/>
  <c r="H793" i="1"/>
  <c r="G793" i="1"/>
  <c r="O792" i="1"/>
  <c r="I792" i="1"/>
  <c r="H792" i="1"/>
  <c r="G792" i="1"/>
  <c r="O791" i="1"/>
  <c r="I791" i="1"/>
  <c r="H791" i="1"/>
  <c r="G791" i="1"/>
  <c r="O790" i="1"/>
  <c r="I790" i="1"/>
  <c r="H790" i="1"/>
  <c r="G790" i="1"/>
  <c r="O789" i="1"/>
  <c r="I789" i="1"/>
  <c r="H789" i="1"/>
  <c r="G789" i="1"/>
  <c r="O788" i="1"/>
  <c r="I788" i="1"/>
  <c r="H788" i="1"/>
  <c r="G788" i="1"/>
  <c r="O787" i="1"/>
  <c r="I787" i="1"/>
  <c r="H787" i="1"/>
  <c r="G787" i="1"/>
  <c r="O786" i="1"/>
  <c r="I786" i="1"/>
  <c r="H786" i="1"/>
  <c r="G786" i="1"/>
  <c r="O785" i="1"/>
  <c r="I785" i="1"/>
  <c r="H785" i="1"/>
  <c r="G785" i="1"/>
  <c r="O784" i="1"/>
  <c r="I784" i="1"/>
  <c r="H784" i="1"/>
  <c r="G784" i="1"/>
  <c r="O783" i="1"/>
  <c r="I783" i="1"/>
  <c r="H783" i="1"/>
  <c r="G783" i="1"/>
  <c r="O782" i="1"/>
  <c r="I782" i="1"/>
  <c r="H782" i="1"/>
  <c r="G782" i="1"/>
  <c r="O781" i="1"/>
  <c r="I781" i="1"/>
  <c r="H781" i="1"/>
  <c r="G781" i="1"/>
  <c r="O780" i="1"/>
  <c r="I780" i="1"/>
  <c r="H780" i="1"/>
  <c r="G780" i="1"/>
  <c r="O779" i="1"/>
  <c r="I779" i="1"/>
  <c r="H779" i="1"/>
  <c r="G779" i="1"/>
  <c r="O778" i="1"/>
  <c r="I778" i="1"/>
  <c r="H778" i="1"/>
  <c r="G778" i="1"/>
  <c r="O777" i="1"/>
  <c r="I777" i="1"/>
  <c r="H777" i="1"/>
  <c r="G777" i="1"/>
  <c r="O776" i="1"/>
  <c r="I776" i="1"/>
  <c r="H776" i="1"/>
  <c r="G776" i="1"/>
  <c r="O775" i="1"/>
  <c r="I775" i="1"/>
  <c r="H775" i="1"/>
  <c r="G775" i="1"/>
  <c r="O774" i="1"/>
  <c r="I774" i="1"/>
  <c r="H774" i="1"/>
  <c r="G774" i="1"/>
  <c r="O773" i="1"/>
  <c r="I773" i="1"/>
  <c r="H773" i="1"/>
  <c r="G773" i="1"/>
  <c r="O772" i="1"/>
  <c r="I772" i="1"/>
  <c r="H772" i="1"/>
  <c r="G772" i="1"/>
  <c r="O771" i="1"/>
  <c r="I771" i="1"/>
  <c r="H771" i="1"/>
  <c r="G771" i="1"/>
  <c r="O770" i="1"/>
  <c r="I770" i="1"/>
  <c r="H770" i="1"/>
  <c r="G770" i="1"/>
  <c r="O769" i="1"/>
  <c r="I769" i="1"/>
  <c r="H769" i="1"/>
  <c r="G769" i="1"/>
  <c r="O768" i="1"/>
  <c r="I768" i="1"/>
  <c r="H768" i="1"/>
  <c r="G768" i="1"/>
  <c r="O767" i="1"/>
  <c r="I767" i="1"/>
  <c r="H767" i="1"/>
  <c r="G767" i="1"/>
  <c r="O766" i="1"/>
  <c r="I766" i="1"/>
  <c r="H766" i="1"/>
  <c r="G766" i="1"/>
  <c r="O765" i="1"/>
  <c r="I765" i="1"/>
  <c r="H765" i="1"/>
  <c r="G765" i="1"/>
  <c r="O764" i="1"/>
  <c r="I764" i="1"/>
  <c r="H764" i="1"/>
  <c r="G764" i="1"/>
  <c r="O763" i="1"/>
  <c r="I763" i="1"/>
  <c r="H763" i="1"/>
  <c r="G763" i="1"/>
  <c r="O762" i="1"/>
  <c r="I762" i="1"/>
  <c r="H762" i="1"/>
  <c r="G762" i="1"/>
  <c r="O761" i="1"/>
  <c r="I761" i="1"/>
  <c r="H761" i="1"/>
  <c r="G761" i="1"/>
  <c r="O760" i="1"/>
  <c r="I760" i="1"/>
  <c r="H760" i="1"/>
  <c r="G760" i="1"/>
  <c r="O759" i="1"/>
  <c r="I759" i="1"/>
  <c r="H759" i="1"/>
  <c r="G759" i="1"/>
  <c r="O758" i="1"/>
  <c r="I758" i="1"/>
  <c r="H758" i="1"/>
  <c r="G758" i="1"/>
  <c r="O757" i="1"/>
  <c r="I757" i="1"/>
  <c r="H757" i="1"/>
  <c r="G757" i="1"/>
  <c r="O756" i="1"/>
  <c r="I756" i="1"/>
  <c r="H756" i="1"/>
  <c r="G756" i="1"/>
  <c r="O755" i="1"/>
  <c r="I755" i="1"/>
  <c r="H755" i="1"/>
  <c r="G755" i="1"/>
  <c r="O754" i="1"/>
  <c r="I754" i="1"/>
  <c r="H754" i="1"/>
  <c r="G754" i="1"/>
  <c r="O753" i="1"/>
  <c r="I753" i="1"/>
  <c r="H753" i="1"/>
  <c r="G753" i="1"/>
  <c r="O752" i="1"/>
  <c r="I752" i="1"/>
  <c r="H752" i="1"/>
  <c r="G752" i="1"/>
  <c r="O751" i="1"/>
  <c r="I751" i="1"/>
  <c r="H751" i="1"/>
  <c r="G751" i="1"/>
  <c r="O750" i="1"/>
  <c r="I750" i="1"/>
  <c r="H750" i="1"/>
  <c r="G750" i="1"/>
  <c r="O749" i="1"/>
  <c r="I749" i="1"/>
  <c r="H749" i="1"/>
  <c r="G749" i="1"/>
  <c r="O748" i="1"/>
  <c r="I748" i="1"/>
  <c r="H748" i="1"/>
  <c r="G748" i="1"/>
  <c r="O747" i="1"/>
  <c r="I747" i="1"/>
  <c r="H747" i="1"/>
  <c r="G747" i="1"/>
  <c r="O746" i="1"/>
  <c r="I746" i="1"/>
  <c r="H746" i="1"/>
  <c r="G746" i="1"/>
  <c r="O745" i="1"/>
  <c r="I745" i="1"/>
  <c r="H745" i="1"/>
  <c r="G745" i="1"/>
  <c r="O744" i="1"/>
  <c r="I744" i="1"/>
  <c r="H744" i="1"/>
  <c r="G744" i="1"/>
  <c r="O743" i="1"/>
  <c r="I743" i="1"/>
  <c r="H743" i="1"/>
  <c r="G743" i="1"/>
  <c r="O742" i="1"/>
  <c r="I742" i="1"/>
  <c r="H742" i="1"/>
  <c r="G742" i="1"/>
  <c r="O741" i="1"/>
  <c r="I741" i="1"/>
  <c r="H741" i="1"/>
  <c r="G741" i="1"/>
  <c r="O740" i="1"/>
  <c r="I740" i="1"/>
  <c r="H740" i="1"/>
  <c r="G740" i="1"/>
  <c r="O739" i="1"/>
  <c r="I739" i="1"/>
  <c r="H739" i="1"/>
  <c r="G739" i="1"/>
  <c r="O738" i="1"/>
  <c r="I738" i="1"/>
  <c r="H738" i="1"/>
  <c r="G738" i="1"/>
  <c r="O737" i="1"/>
  <c r="I737" i="1"/>
  <c r="H737" i="1"/>
  <c r="G737" i="1"/>
  <c r="O736" i="1"/>
  <c r="I736" i="1"/>
  <c r="H736" i="1"/>
  <c r="G736" i="1"/>
  <c r="O735" i="1"/>
  <c r="I735" i="1"/>
  <c r="H735" i="1"/>
  <c r="G735" i="1"/>
  <c r="O734" i="1"/>
  <c r="I734" i="1"/>
  <c r="H734" i="1"/>
  <c r="G734" i="1"/>
  <c r="O733" i="1"/>
  <c r="I733" i="1"/>
  <c r="H733" i="1"/>
  <c r="G733" i="1"/>
  <c r="O732" i="1"/>
  <c r="I732" i="1"/>
  <c r="H732" i="1"/>
  <c r="G732" i="1"/>
  <c r="O731" i="1"/>
  <c r="I731" i="1"/>
  <c r="H731" i="1"/>
  <c r="G731" i="1"/>
  <c r="O730" i="1"/>
  <c r="I730" i="1"/>
  <c r="H730" i="1"/>
  <c r="G730" i="1"/>
  <c r="O729" i="1"/>
  <c r="I729" i="1"/>
  <c r="H729" i="1"/>
  <c r="G729" i="1"/>
  <c r="O728" i="1"/>
  <c r="I728" i="1"/>
  <c r="H728" i="1"/>
  <c r="G728" i="1"/>
  <c r="O727" i="1"/>
  <c r="I727" i="1"/>
  <c r="H727" i="1"/>
  <c r="G727" i="1"/>
  <c r="O726" i="1"/>
  <c r="I726" i="1"/>
  <c r="H726" i="1"/>
  <c r="G726" i="1"/>
  <c r="O725" i="1"/>
  <c r="I725" i="1"/>
  <c r="H725" i="1"/>
  <c r="G725" i="1"/>
  <c r="O724" i="1"/>
  <c r="I724" i="1"/>
  <c r="H724" i="1"/>
  <c r="G724" i="1"/>
  <c r="O723" i="1"/>
  <c r="I723" i="1"/>
  <c r="H723" i="1"/>
  <c r="G723" i="1"/>
  <c r="O722" i="1"/>
  <c r="I722" i="1"/>
  <c r="H722" i="1"/>
  <c r="G722" i="1"/>
  <c r="O721" i="1"/>
  <c r="I721" i="1"/>
  <c r="H721" i="1"/>
  <c r="G721" i="1"/>
  <c r="O720" i="1"/>
  <c r="I720" i="1"/>
  <c r="H720" i="1"/>
  <c r="G720" i="1"/>
  <c r="O719" i="1"/>
  <c r="I719" i="1"/>
  <c r="H719" i="1"/>
  <c r="G719" i="1"/>
  <c r="O718" i="1"/>
  <c r="I718" i="1"/>
  <c r="H718" i="1"/>
  <c r="G718" i="1"/>
  <c r="O717" i="1"/>
  <c r="I717" i="1"/>
  <c r="H717" i="1"/>
  <c r="G717" i="1"/>
  <c r="O716" i="1"/>
  <c r="I716" i="1"/>
  <c r="H716" i="1"/>
  <c r="G716" i="1"/>
  <c r="O715" i="1"/>
  <c r="I715" i="1"/>
  <c r="H715" i="1"/>
  <c r="G715" i="1"/>
  <c r="O714" i="1"/>
  <c r="I714" i="1"/>
  <c r="H714" i="1"/>
  <c r="G714" i="1"/>
  <c r="O713" i="1"/>
  <c r="I713" i="1"/>
  <c r="H713" i="1"/>
  <c r="G713" i="1"/>
  <c r="O712" i="1"/>
  <c r="I712" i="1"/>
  <c r="H712" i="1"/>
  <c r="G712" i="1"/>
  <c r="O711" i="1"/>
  <c r="I711" i="1"/>
  <c r="H711" i="1"/>
  <c r="G711" i="1"/>
  <c r="O710" i="1"/>
  <c r="I710" i="1"/>
  <c r="H710" i="1"/>
  <c r="G710" i="1"/>
  <c r="O709" i="1"/>
  <c r="I709" i="1"/>
  <c r="H709" i="1"/>
  <c r="G709" i="1"/>
  <c r="O708" i="1"/>
  <c r="I708" i="1"/>
  <c r="H708" i="1"/>
  <c r="G708" i="1"/>
  <c r="O707" i="1"/>
  <c r="I707" i="1"/>
  <c r="H707" i="1"/>
  <c r="G707" i="1"/>
  <c r="O706" i="1"/>
  <c r="I706" i="1"/>
  <c r="H706" i="1"/>
  <c r="G706" i="1"/>
  <c r="O705" i="1"/>
  <c r="I705" i="1"/>
  <c r="H705" i="1"/>
  <c r="G705" i="1"/>
  <c r="O704" i="1"/>
  <c r="I704" i="1"/>
  <c r="H704" i="1"/>
  <c r="G704" i="1"/>
  <c r="O703" i="1"/>
  <c r="I703" i="1"/>
  <c r="H703" i="1"/>
  <c r="G703" i="1"/>
  <c r="O702" i="1"/>
  <c r="I702" i="1"/>
  <c r="H702" i="1"/>
  <c r="G702" i="1"/>
  <c r="O701" i="1"/>
  <c r="I701" i="1"/>
  <c r="H701" i="1"/>
  <c r="G701" i="1"/>
  <c r="O700" i="1"/>
  <c r="I700" i="1"/>
  <c r="H700" i="1"/>
  <c r="G700" i="1"/>
  <c r="O699" i="1"/>
  <c r="I699" i="1"/>
  <c r="H699" i="1"/>
  <c r="G699" i="1"/>
  <c r="O698" i="1"/>
  <c r="I698" i="1"/>
  <c r="H698" i="1"/>
  <c r="G698" i="1"/>
  <c r="O697" i="1"/>
  <c r="I697" i="1"/>
  <c r="H697" i="1"/>
  <c r="G697" i="1"/>
  <c r="O696" i="1"/>
  <c r="I696" i="1"/>
  <c r="H696" i="1"/>
  <c r="G696" i="1"/>
  <c r="O695" i="1"/>
  <c r="I695" i="1"/>
  <c r="H695" i="1"/>
  <c r="G695" i="1"/>
  <c r="O694" i="1"/>
  <c r="I694" i="1"/>
  <c r="H694" i="1"/>
  <c r="G694" i="1"/>
  <c r="O693" i="1"/>
  <c r="I693" i="1"/>
  <c r="H693" i="1"/>
  <c r="G693" i="1"/>
  <c r="O692" i="1"/>
  <c r="I692" i="1"/>
  <c r="H692" i="1"/>
  <c r="G692" i="1"/>
  <c r="O691" i="1"/>
  <c r="I691" i="1"/>
  <c r="H691" i="1"/>
  <c r="G691" i="1"/>
  <c r="O690" i="1"/>
  <c r="I690" i="1"/>
  <c r="H690" i="1"/>
  <c r="G690" i="1"/>
  <c r="O689" i="1"/>
  <c r="I689" i="1"/>
  <c r="H689" i="1"/>
  <c r="G689" i="1"/>
  <c r="O688" i="1"/>
  <c r="I688" i="1"/>
  <c r="H688" i="1"/>
  <c r="G688" i="1"/>
  <c r="O687" i="1"/>
  <c r="I687" i="1"/>
  <c r="H687" i="1"/>
  <c r="G687" i="1"/>
  <c r="O686" i="1"/>
  <c r="I686" i="1"/>
  <c r="H686" i="1"/>
  <c r="G686" i="1"/>
  <c r="O685" i="1"/>
  <c r="I685" i="1"/>
  <c r="H685" i="1"/>
  <c r="G685" i="1"/>
  <c r="O684" i="1"/>
  <c r="I684" i="1"/>
  <c r="H684" i="1"/>
  <c r="G684" i="1"/>
  <c r="O683" i="1"/>
  <c r="I683" i="1"/>
  <c r="H683" i="1"/>
  <c r="G683" i="1"/>
  <c r="O682" i="1"/>
  <c r="I682" i="1"/>
  <c r="H682" i="1"/>
  <c r="G682" i="1"/>
  <c r="O681" i="1"/>
  <c r="I681" i="1"/>
  <c r="H681" i="1"/>
  <c r="G681" i="1"/>
  <c r="O680" i="1"/>
  <c r="I680" i="1"/>
  <c r="H680" i="1"/>
  <c r="G680" i="1"/>
  <c r="O679" i="1"/>
  <c r="I679" i="1"/>
  <c r="H679" i="1"/>
  <c r="G679" i="1"/>
  <c r="O678" i="1"/>
  <c r="I678" i="1"/>
  <c r="H678" i="1"/>
  <c r="G678" i="1"/>
  <c r="O677" i="1"/>
  <c r="I677" i="1"/>
  <c r="H677" i="1"/>
  <c r="G677" i="1"/>
  <c r="O676" i="1"/>
  <c r="I676" i="1"/>
  <c r="H676" i="1"/>
  <c r="G676" i="1"/>
  <c r="O675" i="1"/>
  <c r="I675" i="1"/>
  <c r="H675" i="1"/>
  <c r="G675" i="1"/>
  <c r="O674" i="1"/>
  <c r="I674" i="1"/>
  <c r="H674" i="1"/>
  <c r="G674" i="1"/>
  <c r="O673" i="1"/>
  <c r="I673" i="1"/>
  <c r="H673" i="1"/>
  <c r="G673" i="1"/>
  <c r="O672" i="1"/>
  <c r="I672" i="1"/>
  <c r="H672" i="1"/>
  <c r="G672" i="1"/>
  <c r="O671" i="1"/>
  <c r="I671" i="1"/>
  <c r="H671" i="1"/>
  <c r="G671" i="1"/>
  <c r="O670" i="1"/>
  <c r="I670" i="1"/>
  <c r="H670" i="1"/>
  <c r="G670" i="1"/>
  <c r="O669" i="1"/>
  <c r="I669" i="1"/>
  <c r="H669" i="1"/>
  <c r="G669" i="1"/>
  <c r="O668" i="1"/>
  <c r="I668" i="1"/>
  <c r="H668" i="1"/>
  <c r="G668" i="1"/>
  <c r="O667" i="1"/>
  <c r="I667" i="1"/>
  <c r="H667" i="1"/>
  <c r="G667" i="1"/>
  <c r="O666" i="1"/>
  <c r="I666" i="1"/>
  <c r="H666" i="1"/>
  <c r="G666" i="1"/>
  <c r="O665" i="1"/>
  <c r="I665" i="1"/>
  <c r="H665" i="1"/>
  <c r="G665" i="1"/>
  <c r="O664" i="1"/>
  <c r="I664" i="1"/>
  <c r="H664" i="1"/>
  <c r="G664" i="1"/>
  <c r="O663" i="1"/>
  <c r="I663" i="1"/>
  <c r="H663" i="1"/>
  <c r="G663" i="1"/>
  <c r="O662" i="1"/>
  <c r="I662" i="1"/>
  <c r="H662" i="1"/>
  <c r="G662" i="1"/>
  <c r="O661" i="1"/>
  <c r="I661" i="1"/>
  <c r="H661" i="1"/>
  <c r="G661" i="1"/>
  <c r="O660" i="1"/>
  <c r="I660" i="1"/>
  <c r="H660" i="1"/>
  <c r="G660" i="1"/>
  <c r="O659" i="1"/>
  <c r="I659" i="1"/>
  <c r="H659" i="1"/>
  <c r="G659" i="1"/>
  <c r="O658" i="1"/>
  <c r="I658" i="1"/>
  <c r="H658" i="1"/>
  <c r="G658" i="1"/>
  <c r="O657" i="1"/>
  <c r="I657" i="1"/>
  <c r="H657" i="1"/>
  <c r="G657" i="1"/>
  <c r="O656" i="1"/>
  <c r="I656" i="1"/>
  <c r="H656" i="1"/>
  <c r="G656" i="1"/>
  <c r="O655" i="1"/>
  <c r="I655" i="1"/>
  <c r="H655" i="1"/>
  <c r="G655" i="1"/>
  <c r="O654" i="1"/>
  <c r="I654" i="1"/>
  <c r="H654" i="1"/>
  <c r="G654" i="1"/>
  <c r="O653" i="1"/>
  <c r="I653" i="1"/>
  <c r="H653" i="1"/>
  <c r="G653" i="1"/>
  <c r="O652" i="1"/>
  <c r="I652" i="1"/>
  <c r="H652" i="1"/>
  <c r="G652" i="1"/>
  <c r="O651" i="1"/>
  <c r="I651" i="1"/>
  <c r="H651" i="1"/>
  <c r="G651" i="1"/>
  <c r="O650" i="1"/>
  <c r="I650" i="1"/>
  <c r="H650" i="1"/>
  <c r="G650" i="1"/>
  <c r="O649" i="1"/>
  <c r="I649" i="1"/>
  <c r="H649" i="1"/>
  <c r="G649" i="1"/>
  <c r="O648" i="1"/>
  <c r="I648" i="1"/>
  <c r="H648" i="1"/>
  <c r="G648" i="1"/>
  <c r="O647" i="1"/>
  <c r="I647" i="1"/>
  <c r="H647" i="1"/>
  <c r="G647" i="1"/>
  <c r="O646" i="1"/>
  <c r="I646" i="1"/>
  <c r="H646" i="1"/>
  <c r="G646" i="1"/>
  <c r="O645" i="1"/>
  <c r="I645" i="1"/>
  <c r="H645" i="1"/>
  <c r="G645" i="1"/>
  <c r="O644" i="1"/>
  <c r="I644" i="1"/>
  <c r="H644" i="1"/>
  <c r="G644" i="1"/>
  <c r="O643" i="1"/>
  <c r="I643" i="1"/>
  <c r="H643" i="1"/>
  <c r="G643" i="1"/>
  <c r="O642" i="1"/>
  <c r="I642" i="1"/>
  <c r="H642" i="1"/>
  <c r="G642" i="1"/>
  <c r="O641" i="1"/>
  <c r="I641" i="1"/>
  <c r="H641" i="1"/>
  <c r="G641" i="1"/>
  <c r="O640" i="1"/>
  <c r="I640" i="1"/>
  <c r="H640" i="1"/>
  <c r="G640" i="1"/>
  <c r="O639" i="1"/>
  <c r="I639" i="1"/>
  <c r="H639" i="1"/>
  <c r="G639" i="1"/>
  <c r="O638" i="1"/>
  <c r="I638" i="1"/>
  <c r="H638" i="1"/>
  <c r="G638" i="1"/>
  <c r="O637" i="1"/>
  <c r="I637" i="1"/>
  <c r="H637" i="1"/>
  <c r="G637" i="1"/>
  <c r="O636" i="1"/>
  <c r="I636" i="1"/>
  <c r="H636" i="1"/>
  <c r="G636" i="1"/>
  <c r="O635" i="1"/>
  <c r="I635" i="1"/>
  <c r="H635" i="1"/>
  <c r="G635" i="1"/>
  <c r="O634" i="1"/>
  <c r="I634" i="1"/>
  <c r="H634" i="1"/>
  <c r="G634" i="1"/>
  <c r="O633" i="1"/>
  <c r="I633" i="1"/>
  <c r="H633" i="1"/>
  <c r="G633" i="1"/>
  <c r="O632" i="1"/>
  <c r="I632" i="1"/>
  <c r="H632" i="1"/>
  <c r="G632" i="1"/>
  <c r="O631" i="1"/>
  <c r="I631" i="1"/>
  <c r="H631" i="1"/>
  <c r="G631" i="1"/>
  <c r="O630" i="1"/>
  <c r="I630" i="1"/>
  <c r="H630" i="1"/>
  <c r="G630" i="1"/>
  <c r="O629" i="1"/>
  <c r="I629" i="1"/>
  <c r="H629" i="1"/>
  <c r="G629" i="1"/>
  <c r="O628" i="1"/>
  <c r="I628" i="1"/>
  <c r="H628" i="1"/>
  <c r="G628" i="1"/>
  <c r="O627" i="1"/>
  <c r="I627" i="1"/>
  <c r="H627" i="1"/>
  <c r="G627" i="1"/>
  <c r="O626" i="1"/>
  <c r="I626" i="1"/>
  <c r="H626" i="1"/>
  <c r="G626" i="1"/>
  <c r="O625" i="1"/>
  <c r="I625" i="1"/>
  <c r="H625" i="1"/>
  <c r="G625" i="1"/>
  <c r="O624" i="1"/>
  <c r="I624" i="1"/>
  <c r="H624" i="1"/>
  <c r="G624" i="1"/>
  <c r="O623" i="1"/>
  <c r="I623" i="1"/>
  <c r="H623" i="1"/>
  <c r="G623" i="1"/>
  <c r="O622" i="1"/>
  <c r="I622" i="1"/>
  <c r="H622" i="1"/>
  <c r="G622" i="1"/>
  <c r="O621" i="1"/>
  <c r="I621" i="1"/>
  <c r="H621" i="1"/>
  <c r="G621" i="1"/>
  <c r="O620" i="1"/>
  <c r="I620" i="1"/>
  <c r="H620" i="1"/>
  <c r="G620" i="1"/>
  <c r="O619" i="1"/>
  <c r="I619" i="1"/>
  <c r="H619" i="1"/>
  <c r="G619" i="1"/>
  <c r="O618" i="1"/>
  <c r="I618" i="1"/>
  <c r="H618" i="1"/>
  <c r="G618" i="1"/>
  <c r="O617" i="1"/>
  <c r="I617" i="1"/>
  <c r="H617" i="1"/>
  <c r="G617" i="1"/>
  <c r="O616" i="1"/>
  <c r="I616" i="1"/>
  <c r="H616" i="1"/>
  <c r="G616" i="1"/>
  <c r="O615" i="1"/>
  <c r="I615" i="1"/>
  <c r="H615" i="1"/>
  <c r="G615" i="1"/>
  <c r="O614" i="1"/>
  <c r="I614" i="1"/>
  <c r="H614" i="1"/>
  <c r="G614" i="1"/>
  <c r="O613" i="1"/>
  <c r="I613" i="1"/>
  <c r="H613" i="1"/>
  <c r="G613" i="1"/>
  <c r="O612" i="1"/>
  <c r="I612" i="1"/>
  <c r="H612" i="1"/>
  <c r="G612" i="1"/>
  <c r="O611" i="1"/>
  <c r="I611" i="1"/>
  <c r="H611" i="1"/>
  <c r="G611" i="1"/>
  <c r="O610" i="1"/>
  <c r="I610" i="1"/>
  <c r="H610" i="1"/>
  <c r="G610" i="1"/>
  <c r="O609" i="1"/>
  <c r="I609" i="1"/>
  <c r="H609" i="1"/>
  <c r="G609" i="1"/>
  <c r="O608" i="1"/>
  <c r="I608" i="1"/>
  <c r="H608" i="1"/>
  <c r="G608" i="1"/>
  <c r="O607" i="1"/>
  <c r="I607" i="1"/>
  <c r="H607" i="1"/>
  <c r="G607" i="1"/>
  <c r="O606" i="1"/>
  <c r="I606" i="1"/>
  <c r="H606" i="1"/>
  <c r="G606" i="1"/>
  <c r="O605" i="1"/>
  <c r="I605" i="1"/>
  <c r="H605" i="1"/>
  <c r="G605" i="1"/>
  <c r="O604" i="1"/>
  <c r="I604" i="1"/>
  <c r="H604" i="1"/>
  <c r="G604" i="1"/>
  <c r="O603" i="1"/>
  <c r="I603" i="1"/>
  <c r="H603" i="1"/>
  <c r="G603" i="1"/>
  <c r="O602" i="1"/>
  <c r="I602" i="1"/>
  <c r="H602" i="1"/>
  <c r="G602" i="1"/>
  <c r="O601" i="1"/>
  <c r="I601" i="1"/>
  <c r="H601" i="1"/>
  <c r="G601" i="1"/>
  <c r="O600" i="1"/>
  <c r="I600" i="1"/>
  <c r="H600" i="1"/>
  <c r="G600" i="1"/>
  <c r="O599" i="1"/>
  <c r="I599" i="1"/>
  <c r="H599" i="1"/>
  <c r="G599" i="1"/>
  <c r="O598" i="1"/>
  <c r="I598" i="1"/>
  <c r="H598" i="1"/>
  <c r="G598" i="1"/>
  <c r="O597" i="1"/>
  <c r="I597" i="1"/>
  <c r="H597" i="1"/>
  <c r="G597" i="1"/>
  <c r="O596" i="1"/>
  <c r="I596" i="1"/>
  <c r="H596" i="1"/>
  <c r="G596" i="1"/>
  <c r="O595" i="1"/>
  <c r="I595" i="1"/>
  <c r="H595" i="1"/>
  <c r="G595" i="1"/>
  <c r="O594" i="1"/>
  <c r="I594" i="1"/>
  <c r="H594" i="1"/>
  <c r="G594" i="1"/>
  <c r="O593" i="1"/>
  <c r="I593" i="1"/>
  <c r="H593" i="1"/>
  <c r="G593" i="1"/>
  <c r="O592" i="1"/>
  <c r="I592" i="1"/>
  <c r="H592" i="1"/>
  <c r="G592" i="1"/>
  <c r="O591" i="1"/>
  <c r="I591" i="1"/>
  <c r="H591" i="1"/>
  <c r="G591" i="1"/>
  <c r="O590" i="1"/>
  <c r="I590" i="1"/>
  <c r="H590" i="1"/>
  <c r="G590" i="1"/>
  <c r="O589" i="1"/>
  <c r="I589" i="1"/>
  <c r="H589" i="1"/>
  <c r="G589" i="1"/>
  <c r="O588" i="1"/>
  <c r="I588" i="1"/>
  <c r="H588" i="1"/>
  <c r="G588" i="1"/>
  <c r="O587" i="1"/>
  <c r="I587" i="1"/>
  <c r="H587" i="1"/>
  <c r="G587" i="1"/>
  <c r="O586" i="1"/>
  <c r="I586" i="1"/>
  <c r="H586" i="1"/>
  <c r="G586" i="1"/>
  <c r="O585" i="1"/>
  <c r="I585" i="1"/>
  <c r="H585" i="1"/>
  <c r="G585" i="1"/>
  <c r="O584" i="1"/>
  <c r="I584" i="1"/>
  <c r="H584" i="1"/>
  <c r="G584" i="1"/>
  <c r="O583" i="1"/>
  <c r="I583" i="1"/>
  <c r="H583" i="1"/>
  <c r="G583" i="1"/>
  <c r="O582" i="1"/>
  <c r="I582" i="1"/>
  <c r="H582" i="1"/>
  <c r="G582" i="1"/>
  <c r="O581" i="1"/>
  <c r="I581" i="1"/>
  <c r="H581" i="1"/>
  <c r="G581" i="1"/>
  <c r="O580" i="1"/>
  <c r="I580" i="1"/>
  <c r="H580" i="1"/>
  <c r="G580" i="1"/>
  <c r="O579" i="1"/>
  <c r="I579" i="1"/>
  <c r="H579" i="1"/>
  <c r="G579" i="1"/>
  <c r="O578" i="1"/>
  <c r="I578" i="1"/>
  <c r="H578" i="1"/>
  <c r="G578" i="1"/>
  <c r="O577" i="1"/>
  <c r="I577" i="1"/>
  <c r="H577" i="1"/>
  <c r="G577" i="1"/>
  <c r="O576" i="1"/>
  <c r="I576" i="1"/>
  <c r="H576" i="1"/>
  <c r="G576" i="1"/>
  <c r="O575" i="1"/>
  <c r="I575" i="1"/>
  <c r="H575" i="1"/>
  <c r="G575" i="1"/>
  <c r="O574" i="1"/>
  <c r="I574" i="1"/>
  <c r="H574" i="1"/>
  <c r="G574" i="1"/>
  <c r="O573" i="1"/>
  <c r="I573" i="1"/>
  <c r="H573" i="1"/>
  <c r="G573" i="1"/>
  <c r="O572" i="1"/>
  <c r="I572" i="1"/>
  <c r="H572" i="1"/>
  <c r="G572" i="1"/>
  <c r="O571" i="1"/>
  <c r="I571" i="1"/>
  <c r="H571" i="1"/>
  <c r="G571" i="1"/>
  <c r="O570" i="1"/>
  <c r="I570" i="1"/>
  <c r="H570" i="1"/>
  <c r="G570" i="1"/>
  <c r="O569" i="1"/>
  <c r="I569" i="1"/>
  <c r="H569" i="1"/>
  <c r="G569" i="1"/>
  <c r="O568" i="1"/>
  <c r="I568" i="1"/>
  <c r="H568" i="1"/>
  <c r="G568" i="1"/>
  <c r="O567" i="1"/>
  <c r="I567" i="1"/>
  <c r="H567" i="1"/>
  <c r="G567" i="1"/>
  <c r="O566" i="1"/>
  <c r="I566" i="1"/>
  <c r="H566" i="1"/>
  <c r="G566" i="1"/>
  <c r="O565" i="1"/>
  <c r="I565" i="1"/>
  <c r="H565" i="1"/>
  <c r="G565" i="1"/>
  <c r="O564" i="1"/>
  <c r="I564" i="1"/>
  <c r="H564" i="1"/>
  <c r="G564" i="1"/>
  <c r="O563" i="1"/>
  <c r="I563" i="1"/>
  <c r="H563" i="1"/>
  <c r="G563" i="1"/>
  <c r="O562" i="1"/>
  <c r="I562" i="1"/>
  <c r="H562" i="1"/>
  <c r="G562" i="1"/>
  <c r="O561" i="1"/>
  <c r="I561" i="1"/>
  <c r="H561" i="1"/>
  <c r="G561" i="1"/>
  <c r="O560" i="1"/>
  <c r="I560" i="1"/>
  <c r="H560" i="1"/>
  <c r="G560" i="1"/>
  <c r="O559" i="1"/>
  <c r="I559" i="1"/>
  <c r="H559" i="1"/>
  <c r="G559" i="1"/>
  <c r="O558" i="1"/>
  <c r="I558" i="1"/>
  <c r="H558" i="1"/>
  <c r="G558" i="1"/>
  <c r="O557" i="1"/>
  <c r="I557" i="1"/>
  <c r="H557" i="1"/>
  <c r="G557" i="1"/>
  <c r="O556" i="1"/>
  <c r="I556" i="1"/>
  <c r="H556" i="1"/>
  <c r="G556" i="1"/>
  <c r="O555" i="1"/>
  <c r="I555" i="1"/>
  <c r="H555" i="1"/>
  <c r="G555" i="1"/>
  <c r="O554" i="1"/>
  <c r="I554" i="1"/>
  <c r="H554" i="1"/>
  <c r="G554" i="1"/>
  <c r="O553" i="1"/>
  <c r="I553" i="1"/>
  <c r="H553" i="1"/>
  <c r="G553" i="1"/>
  <c r="O552" i="1"/>
  <c r="I552" i="1"/>
  <c r="H552" i="1"/>
  <c r="G552" i="1"/>
  <c r="O551" i="1"/>
  <c r="I551" i="1"/>
  <c r="H551" i="1"/>
  <c r="G551" i="1"/>
  <c r="O550" i="1"/>
  <c r="I550" i="1"/>
  <c r="H550" i="1"/>
  <c r="G550" i="1"/>
  <c r="O549" i="1"/>
  <c r="I549" i="1"/>
  <c r="H549" i="1"/>
  <c r="G549" i="1"/>
  <c r="O548" i="1"/>
  <c r="I548" i="1"/>
  <c r="H548" i="1"/>
  <c r="G548" i="1"/>
  <c r="O547" i="1"/>
  <c r="I547" i="1"/>
  <c r="H547" i="1"/>
  <c r="G547" i="1"/>
  <c r="O546" i="1"/>
  <c r="I546" i="1"/>
  <c r="H546" i="1"/>
  <c r="G546" i="1"/>
  <c r="O545" i="1"/>
  <c r="I545" i="1"/>
  <c r="H545" i="1"/>
  <c r="G545" i="1"/>
  <c r="O544" i="1"/>
  <c r="I544" i="1"/>
  <c r="H544" i="1"/>
  <c r="G544" i="1"/>
  <c r="O543" i="1"/>
  <c r="I543" i="1"/>
  <c r="H543" i="1"/>
  <c r="G543" i="1"/>
  <c r="O542" i="1"/>
  <c r="I542" i="1"/>
  <c r="H542" i="1"/>
  <c r="G542" i="1"/>
  <c r="O541" i="1"/>
  <c r="I541" i="1"/>
  <c r="H541" i="1"/>
  <c r="G541" i="1"/>
  <c r="O540" i="1"/>
  <c r="I540" i="1"/>
  <c r="H540" i="1"/>
  <c r="G540" i="1"/>
  <c r="O539" i="1"/>
  <c r="I539" i="1"/>
  <c r="H539" i="1"/>
  <c r="G539" i="1"/>
  <c r="O538" i="1"/>
  <c r="I538" i="1"/>
  <c r="H538" i="1"/>
  <c r="G538" i="1"/>
  <c r="O537" i="1"/>
  <c r="I537" i="1"/>
  <c r="H537" i="1"/>
  <c r="G537" i="1"/>
  <c r="O536" i="1"/>
  <c r="I536" i="1"/>
  <c r="H536" i="1"/>
  <c r="G536" i="1"/>
  <c r="O535" i="1"/>
  <c r="I535" i="1"/>
  <c r="H535" i="1"/>
  <c r="G535" i="1"/>
  <c r="O534" i="1"/>
  <c r="I534" i="1"/>
  <c r="H534" i="1"/>
  <c r="G534" i="1"/>
  <c r="O533" i="1"/>
  <c r="I533" i="1"/>
  <c r="H533" i="1"/>
  <c r="G533" i="1"/>
  <c r="O532" i="1"/>
  <c r="I532" i="1"/>
  <c r="H532" i="1"/>
  <c r="G532" i="1"/>
  <c r="O531" i="1"/>
  <c r="I531" i="1"/>
  <c r="H531" i="1"/>
  <c r="G531" i="1"/>
  <c r="O530" i="1"/>
  <c r="I530" i="1"/>
  <c r="H530" i="1"/>
  <c r="G530" i="1"/>
  <c r="O529" i="1"/>
  <c r="I529" i="1"/>
  <c r="H529" i="1"/>
  <c r="G529" i="1"/>
  <c r="O528" i="1"/>
  <c r="I528" i="1"/>
  <c r="H528" i="1"/>
  <c r="G528" i="1"/>
  <c r="O527" i="1"/>
  <c r="I527" i="1"/>
  <c r="H527" i="1"/>
  <c r="G527" i="1"/>
  <c r="O526" i="1"/>
  <c r="I526" i="1"/>
  <c r="H526" i="1"/>
  <c r="G526" i="1"/>
  <c r="O525" i="1"/>
  <c r="I525" i="1"/>
  <c r="H525" i="1"/>
  <c r="G525" i="1"/>
  <c r="O524" i="1"/>
  <c r="I524" i="1"/>
  <c r="H524" i="1"/>
  <c r="G524" i="1"/>
  <c r="O523" i="1"/>
  <c r="I523" i="1"/>
  <c r="H523" i="1"/>
  <c r="G523" i="1"/>
  <c r="O522" i="1"/>
  <c r="I522" i="1"/>
  <c r="H522" i="1"/>
  <c r="G522" i="1"/>
  <c r="O521" i="1"/>
  <c r="I521" i="1"/>
  <c r="H521" i="1"/>
  <c r="G521" i="1"/>
  <c r="O520" i="1"/>
  <c r="I520" i="1"/>
  <c r="H520" i="1"/>
  <c r="G520" i="1"/>
  <c r="O519" i="1"/>
  <c r="I519" i="1"/>
  <c r="H519" i="1"/>
  <c r="G519" i="1"/>
  <c r="O518" i="1"/>
  <c r="I518" i="1"/>
  <c r="H518" i="1"/>
  <c r="G518" i="1"/>
  <c r="O517" i="1"/>
  <c r="I517" i="1"/>
  <c r="H517" i="1"/>
  <c r="G517" i="1"/>
  <c r="O516" i="1"/>
  <c r="I516" i="1"/>
  <c r="H516" i="1"/>
  <c r="G516" i="1"/>
  <c r="O515" i="1"/>
  <c r="I515" i="1"/>
  <c r="H515" i="1"/>
  <c r="G515" i="1"/>
  <c r="O514" i="1"/>
  <c r="I514" i="1"/>
  <c r="H514" i="1"/>
  <c r="G514" i="1"/>
  <c r="O513" i="1"/>
  <c r="I513" i="1"/>
  <c r="H513" i="1"/>
  <c r="G513" i="1"/>
  <c r="O512" i="1"/>
  <c r="I512" i="1"/>
  <c r="H512" i="1"/>
  <c r="G512" i="1"/>
  <c r="O511" i="1"/>
  <c r="I511" i="1"/>
  <c r="H511" i="1"/>
  <c r="G511" i="1"/>
  <c r="O510" i="1"/>
  <c r="I510" i="1"/>
  <c r="H510" i="1"/>
  <c r="G510" i="1"/>
  <c r="O509" i="1"/>
  <c r="I509" i="1"/>
  <c r="H509" i="1"/>
  <c r="G509" i="1"/>
  <c r="O508" i="1"/>
  <c r="I508" i="1"/>
  <c r="H508" i="1"/>
  <c r="G508" i="1"/>
  <c r="O507" i="1"/>
  <c r="I507" i="1"/>
  <c r="H507" i="1"/>
  <c r="G507" i="1"/>
  <c r="O506" i="1"/>
  <c r="I506" i="1"/>
  <c r="H506" i="1"/>
  <c r="G506" i="1"/>
  <c r="O505" i="1"/>
  <c r="I505" i="1"/>
  <c r="H505" i="1"/>
  <c r="G505" i="1"/>
  <c r="O504" i="1"/>
  <c r="I504" i="1"/>
  <c r="H504" i="1"/>
  <c r="G504" i="1"/>
  <c r="O503" i="1"/>
  <c r="I503" i="1"/>
  <c r="H503" i="1"/>
  <c r="G503" i="1"/>
  <c r="O502" i="1"/>
  <c r="I502" i="1"/>
  <c r="H502" i="1"/>
  <c r="G502" i="1"/>
  <c r="O501" i="1"/>
  <c r="I501" i="1"/>
  <c r="H501" i="1"/>
  <c r="G501" i="1"/>
  <c r="O500" i="1"/>
  <c r="I500" i="1"/>
  <c r="H500" i="1"/>
  <c r="G500" i="1"/>
  <c r="O499" i="1"/>
  <c r="I499" i="1"/>
  <c r="H499" i="1"/>
  <c r="G499" i="1"/>
  <c r="O498" i="1"/>
  <c r="I498" i="1"/>
  <c r="H498" i="1"/>
  <c r="G498" i="1"/>
  <c r="O497" i="1"/>
  <c r="I497" i="1"/>
  <c r="H497" i="1"/>
  <c r="G497" i="1"/>
  <c r="O496" i="1"/>
  <c r="I496" i="1"/>
  <c r="H496" i="1"/>
  <c r="G496" i="1"/>
  <c r="O495" i="1"/>
  <c r="I495" i="1"/>
  <c r="H495" i="1"/>
  <c r="G495" i="1"/>
  <c r="O494" i="1"/>
  <c r="I494" i="1"/>
  <c r="H494" i="1"/>
  <c r="G494" i="1"/>
  <c r="O493" i="1"/>
  <c r="I493" i="1"/>
  <c r="H493" i="1"/>
  <c r="G493" i="1"/>
  <c r="O492" i="1"/>
  <c r="I492" i="1"/>
  <c r="H492" i="1"/>
  <c r="G492" i="1"/>
  <c r="O491" i="1"/>
  <c r="I491" i="1"/>
  <c r="H491" i="1"/>
  <c r="G491" i="1"/>
  <c r="O490" i="1"/>
  <c r="I490" i="1"/>
  <c r="H490" i="1"/>
  <c r="G490" i="1"/>
  <c r="O489" i="1"/>
  <c r="I489" i="1"/>
  <c r="H489" i="1"/>
  <c r="G489" i="1"/>
  <c r="O488" i="1"/>
  <c r="I488" i="1"/>
  <c r="H488" i="1"/>
  <c r="G488" i="1"/>
  <c r="O487" i="1"/>
  <c r="I487" i="1"/>
  <c r="H487" i="1"/>
  <c r="G487" i="1"/>
  <c r="O486" i="1"/>
  <c r="I486" i="1"/>
  <c r="H486" i="1"/>
  <c r="G486" i="1"/>
  <c r="O485" i="1"/>
  <c r="I485" i="1"/>
  <c r="H485" i="1"/>
  <c r="G485" i="1"/>
  <c r="O484" i="1"/>
  <c r="I484" i="1"/>
  <c r="H484" i="1"/>
  <c r="G484" i="1"/>
  <c r="O483" i="1"/>
  <c r="I483" i="1"/>
  <c r="H483" i="1"/>
  <c r="G483" i="1"/>
  <c r="O482" i="1"/>
  <c r="I482" i="1"/>
  <c r="H482" i="1"/>
  <c r="G482" i="1"/>
  <c r="O481" i="1"/>
  <c r="I481" i="1"/>
  <c r="H481" i="1"/>
  <c r="G481" i="1"/>
  <c r="O480" i="1"/>
  <c r="I480" i="1"/>
  <c r="H480" i="1"/>
  <c r="G480" i="1"/>
  <c r="O479" i="1"/>
  <c r="I479" i="1"/>
  <c r="H479" i="1"/>
  <c r="G479" i="1"/>
  <c r="O478" i="1"/>
  <c r="I478" i="1"/>
  <c r="H478" i="1"/>
  <c r="G478" i="1"/>
  <c r="O477" i="1"/>
  <c r="I477" i="1"/>
  <c r="H477" i="1"/>
  <c r="G477" i="1"/>
  <c r="O476" i="1"/>
  <c r="I476" i="1"/>
  <c r="H476" i="1"/>
  <c r="G476" i="1"/>
  <c r="O475" i="1"/>
  <c r="I475" i="1"/>
  <c r="H475" i="1"/>
  <c r="G475" i="1"/>
  <c r="O474" i="1"/>
  <c r="I474" i="1"/>
  <c r="H474" i="1"/>
  <c r="G474" i="1"/>
  <c r="O473" i="1"/>
  <c r="I473" i="1"/>
  <c r="H473" i="1"/>
  <c r="G473" i="1"/>
  <c r="O472" i="1"/>
  <c r="I472" i="1"/>
  <c r="H472" i="1"/>
  <c r="G472" i="1"/>
  <c r="O471" i="1"/>
  <c r="I471" i="1"/>
  <c r="H471" i="1"/>
  <c r="G471" i="1"/>
  <c r="O470" i="1"/>
  <c r="I470" i="1"/>
  <c r="H470" i="1"/>
  <c r="G470" i="1"/>
  <c r="O469" i="1"/>
  <c r="I469" i="1"/>
  <c r="H469" i="1"/>
  <c r="G469" i="1"/>
  <c r="O468" i="1"/>
  <c r="I468" i="1"/>
  <c r="H468" i="1"/>
  <c r="G468" i="1"/>
  <c r="O467" i="1"/>
  <c r="I467" i="1"/>
  <c r="H467" i="1"/>
  <c r="G467" i="1"/>
  <c r="O466" i="1"/>
  <c r="I466" i="1"/>
  <c r="H466" i="1"/>
  <c r="G466" i="1"/>
  <c r="O465" i="1"/>
  <c r="I465" i="1"/>
  <c r="H465" i="1"/>
  <c r="G465" i="1"/>
  <c r="O464" i="1"/>
  <c r="I464" i="1"/>
  <c r="H464" i="1"/>
  <c r="G464" i="1"/>
  <c r="O463" i="1"/>
  <c r="I463" i="1"/>
  <c r="H463" i="1"/>
  <c r="G463" i="1"/>
  <c r="O462" i="1"/>
  <c r="I462" i="1"/>
  <c r="H462" i="1"/>
  <c r="G462" i="1"/>
  <c r="O461" i="1"/>
  <c r="I461" i="1"/>
  <c r="H461" i="1"/>
  <c r="G461" i="1"/>
  <c r="O460" i="1"/>
  <c r="I460" i="1"/>
  <c r="H460" i="1"/>
  <c r="G460" i="1"/>
  <c r="O459" i="1"/>
  <c r="I459" i="1"/>
  <c r="H459" i="1"/>
  <c r="G459" i="1"/>
  <c r="O458" i="1"/>
  <c r="I458" i="1"/>
  <c r="H458" i="1"/>
  <c r="G458" i="1"/>
  <c r="O457" i="1"/>
  <c r="I457" i="1"/>
  <c r="H457" i="1"/>
  <c r="G457" i="1"/>
  <c r="O456" i="1"/>
  <c r="I456" i="1"/>
  <c r="H456" i="1"/>
  <c r="G456" i="1"/>
  <c r="O455" i="1"/>
  <c r="I455" i="1"/>
  <c r="H455" i="1"/>
  <c r="G455" i="1"/>
  <c r="O454" i="1"/>
  <c r="I454" i="1"/>
  <c r="H454" i="1"/>
  <c r="G454" i="1"/>
  <c r="O453" i="1"/>
  <c r="I453" i="1"/>
  <c r="H453" i="1"/>
  <c r="G453" i="1"/>
  <c r="O452" i="1"/>
  <c r="I452" i="1"/>
  <c r="H452" i="1"/>
  <c r="G452" i="1"/>
  <c r="O451" i="1"/>
  <c r="I451" i="1"/>
  <c r="H451" i="1"/>
  <c r="G451" i="1"/>
  <c r="O450" i="1"/>
  <c r="I450" i="1"/>
  <c r="H450" i="1"/>
  <c r="G450" i="1"/>
  <c r="O449" i="1"/>
  <c r="I449" i="1"/>
  <c r="H449" i="1"/>
  <c r="G449" i="1"/>
  <c r="O448" i="1"/>
  <c r="I448" i="1"/>
  <c r="H448" i="1"/>
  <c r="G448" i="1"/>
  <c r="O447" i="1"/>
  <c r="I447" i="1"/>
  <c r="H447" i="1"/>
  <c r="G447" i="1"/>
  <c r="O446" i="1"/>
  <c r="I446" i="1"/>
  <c r="H446" i="1"/>
  <c r="G446" i="1"/>
  <c r="O445" i="1"/>
  <c r="I445" i="1"/>
  <c r="H445" i="1"/>
  <c r="G445" i="1"/>
  <c r="O444" i="1"/>
  <c r="I444" i="1"/>
  <c r="H444" i="1"/>
  <c r="G444" i="1"/>
  <c r="O443" i="1"/>
  <c r="I443" i="1"/>
  <c r="H443" i="1"/>
  <c r="G443" i="1"/>
  <c r="O442" i="1"/>
  <c r="I442" i="1"/>
  <c r="H442" i="1"/>
  <c r="G442" i="1"/>
  <c r="O441" i="1"/>
  <c r="I441" i="1"/>
  <c r="H441" i="1"/>
  <c r="G441" i="1"/>
  <c r="O440" i="1"/>
  <c r="I440" i="1"/>
  <c r="H440" i="1"/>
  <c r="G440" i="1"/>
  <c r="O439" i="1"/>
  <c r="I439" i="1"/>
  <c r="H439" i="1"/>
  <c r="G439" i="1"/>
  <c r="O438" i="1"/>
  <c r="I438" i="1"/>
  <c r="H438" i="1"/>
  <c r="G438" i="1"/>
  <c r="O437" i="1"/>
  <c r="I437" i="1"/>
  <c r="H437" i="1"/>
  <c r="G437" i="1"/>
  <c r="O436" i="1"/>
  <c r="I436" i="1"/>
  <c r="H436" i="1"/>
  <c r="G436" i="1"/>
  <c r="O435" i="1"/>
  <c r="I435" i="1"/>
  <c r="H435" i="1"/>
  <c r="G435" i="1"/>
  <c r="O434" i="1"/>
  <c r="I434" i="1"/>
  <c r="H434" i="1"/>
  <c r="G434" i="1"/>
  <c r="O433" i="1"/>
  <c r="I433" i="1"/>
  <c r="H433" i="1"/>
  <c r="G433" i="1"/>
  <c r="O432" i="1"/>
  <c r="I432" i="1"/>
  <c r="H432" i="1"/>
  <c r="G432" i="1"/>
  <c r="O431" i="1"/>
  <c r="I431" i="1"/>
  <c r="H431" i="1"/>
  <c r="G431" i="1"/>
  <c r="O430" i="1"/>
  <c r="I430" i="1"/>
  <c r="H430" i="1"/>
  <c r="G430" i="1"/>
  <c r="O429" i="1"/>
  <c r="I429" i="1"/>
  <c r="H429" i="1"/>
  <c r="G429" i="1"/>
  <c r="O428" i="1"/>
  <c r="I428" i="1"/>
  <c r="H428" i="1"/>
  <c r="G428" i="1"/>
  <c r="O427" i="1"/>
  <c r="I427" i="1"/>
  <c r="H427" i="1"/>
  <c r="G427" i="1"/>
  <c r="O426" i="1"/>
  <c r="I426" i="1"/>
  <c r="H426" i="1"/>
  <c r="G426" i="1"/>
  <c r="O425" i="1"/>
  <c r="I425" i="1"/>
  <c r="H425" i="1"/>
  <c r="G425" i="1"/>
  <c r="O424" i="1"/>
  <c r="I424" i="1"/>
  <c r="H424" i="1"/>
  <c r="G424" i="1"/>
  <c r="O423" i="1"/>
  <c r="I423" i="1"/>
  <c r="H423" i="1"/>
  <c r="G423" i="1"/>
  <c r="O422" i="1"/>
  <c r="I422" i="1"/>
  <c r="H422" i="1"/>
  <c r="G422" i="1"/>
  <c r="O421" i="1"/>
  <c r="I421" i="1"/>
  <c r="H421" i="1"/>
  <c r="G421" i="1"/>
  <c r="O420" i="1"/>
  <c r="I420" i="1"/>
  <c r="H420" i="1"/>
  <c r="G420" i="1"/>
  <c r="O419" i="1"/>
  <c r="I419" i="1"/>
  <c r="H419" i="1"/>
  <c r="G419" i="1"/>
  <c r="O418" i="1"/>
  <c r="I418" i="1"/>
  <c r="H418" i="1"/>
  <c r="G418" i="1"/>
  <c r="O417" i="1"/>
  <c r="I417" i="1"/>
  <c r="H417" i="1"/>
  <c r="G417" i="1"/>
  <c r="O416" i="1"/>
  <c r="I416" i="1"/>
  <c r="H416" i="1"/>
  <c r="G416" i="1"/>
  <c r="O415" i="1"/>
  <c r="I415" i="1"/>
  <c r="H415" i="1"/>
  <c r="G415" i="1"/>
  <c r="O414" i="1"/>
  <c r="I414" i="1"/>
  <c r="H414" i="1"/>
  <c r="G414" i="1"/>
  <c r="O413" i="1"/>
  <c r="I413" i="1"/>
  <c r="H413" i="1"/>
  <c r="G413" i="1"/>
  <c r="O412" i="1"/>
  <c r="I412" i="1"/>
  <c r="H412" i="1"/>
  <c r="G412" i="1"/>
  <c r="O411" i="1"/>
  <c r="I411" i="1"/>
  <c r="H411" i="1"/>
  <c r="G411" i="1"/>
  <c r="O410" i="1"/>
  <c r="I410" i="1"/>
  <c r="H410" i="1"/>
  <c r="G410" i="1"/>
  <c r="O409" i="1"/>
  <c r="I409" i="1"/>
  <c r="H409" i="1"/>
  <c r="G409" i="1"/>
  <c r="O408" i="1"/>
  <c r="I408" i="1"/>
  <c r="H408" i="1"/>
  <c r="G408" i="1"/>
  <c r="O407" i="1"/>
  <c r="I407" i="1"/>
  <c r="H407" i="1"/>
  <c r="G407" i="1"/>
  <c r="O406" i="1"/>
  <c r="I406" i="1"/>
  <c r="H406" i="1"/>
  <c r="G406" i="1"/>
  <c r="O405" i="1"/>
  <c r="I405" i="1"/>
  <c r="H405" i="1"/>
  <c r="G405" i="1"/>
  <c r="O404" i="1"/>
  <c r="I404" i="1"/>
  <c r="H404" i="1"/>
  <c r="G404" i="1"/>
  <c r="O403" i="1"/>
  <c r="I403" i="1"/>
  <c r="H403" i="1"/>
  <c r="G403" i="1"/>
  <c r="O402" i="1"/>
  <c r="I402" i="1"/>
  <c r="H402" i="1"/>
  <c r="G402" i="1"/>
  <c r="O401" i="1"/>
  <c r="I401" i="1"/>
  <c r="H401" i="1"/>
  <c r="G401" i="1"/>
  <c r="O400" i="1"/>
  <c r="I400" i="1"/>
  <c r="H400" i="1"/>
  <c r="G400" i="1"/>
  <c r="O399" i="1"/>
  <c r="I399" i="1"/>
  <c r="H399" i="1"/>
  <c r="G399" i="1"/>
  <c r="O398" i="1"/>
  <c r="I398" i="1"/>
  <c r="H398" i="1"/>
  <c r="G398" i="1"/>
  <c r="O397" i="1"/>
  <c r="I397" i="1"/>
  <c r="H397" i="1"/>
  <c r="G397" i="1"/>
  <c r="O396" i="1"/>
  <c r="I396" i="1"/>
  <c r="H396" i="1"/>
  <c r="G396" i="1"/>
  <c r="O395" i="1"/>
  <c r="I395" i="1"/>
  <c r="H395" i="1"/>
  <c r="G395" i="1"/>
  <c r="O394" i="1"/>
  <c r="I394" i="1"/>
  <c r="H394" i="1"/>
  <c r="G394" i="1"/>
  <c r="O393" i="1"/>
  <c r="I393" i="1"/>
  <c r="H393" i="1"/>
  <c r="G393" i="1"/>
  <c r="O392" i="1"/>
  <c r="I392" i="1"/>
  <c r="H392" i="1"/>
  <c r="G392" i="1"/>
  <c r="O391" i="1"/>
  <c r="I391" i="1"/>
  <c r="H391" i="1"/>
  <c r="G391" i="1"/>
  <c r="O390" i="1"/>
  <c r="I390" i="1"/>
  <c r="H390" i="1"/>
  <c r="G390" i="1"/>
  <c r="O389" i="1"/>
  <c r="I389" i="1"/>
  <c r="H389" i="1"/>
  <c r="G389" i="1"/>
  <c r="O388" i="1"/>
  <c r="I388" i="1"/>
  <c r="H388" i="1"/>
  <c r="G388" i="1"/>
  <c r="O387" i="1"/>
  <c r="I387" i="1"/>
  <c r="H387" i="1"/>
  <c r="G387" i="1"/>
  <c r="O386" i="1"/>
  <c r="I386" i="1"/>
  <c r="H386" i="1"/>
  <c r="G386" i="1"/>
  <c r="O385" i="1"/>
  <c r="I385" i="1"/>
  <c r="H385" i="1"/>
  <c r="G385" i="1"/>
  <c r="O384" i="1"/>
  <c r="I384" i="1"/>
  <c r="H384" i="1"/>
  <c r="G384" i="1"/>
  <c r="O383" i="1"/>
  <c r="I383" i="1"/>
  <c r="H383" i="1"/>
  <c r="G383" i="1"/>
  <c r="O382" i="1"/>
  <c r="I382" i="1"/>
  <c r="H382" i="1"/>
  <c r="G382" i="1"/>
  <c r="O381" i="1"/>
  <c r="I381" i="1"/>
  <c r="H381" i="1"/>
  <c r="G381" i="1"/>
  <c r="O380" i="1"/>
  <c r="I380" i="1"/>
  <c r="H380" i="1"/>
  <c r="G380" i="1"/>
  <c r="O379" i="1"/>
  <c r="I379" i="1"/>
  <c r="H379" i="1"/>
  <c r="G379" i="1"/>
  <c r="O378" i="1"/>
  <c r="I378" i="1"/>
  <c r="H378" i="1"/>
  <c r="G378" i="1"/>
  <c r="O377" i="1"/>
  <c r="I377" i="1"/>
  <c r="H377" i="1"/>
  <c r="G377" i="1"/>
  <c r="O376" i="1"/>
  <c r="I376" i="1"/>
  <c r="H376" i="1"/>
  <c r="G376" i="1"/>
  <c r="O375" i="1"/>
  <c r="I375" i="1"/>
  <c r="H375" i="1"/>
  <c r="G375" i="1"/>
  <c r="O374" i="1"/>
  <c r="I374" i="1"/>
  <c r="H374" i="1"/>
  <c r="G374" i="1"/>
  <c r="O373" i="1"/>
  <c r="I373" i="1"/>
  <c r="H373" i="1"/>
  <c r="G373" i="1"/>
  <c r="O372" i="1"/>
  <c r="I372" i="1"/>
  <c r="H372" i="1"/>
  <c r="G372" i="1"/>
  <c r="O371" i="1"/>
  <c r="I371" i="1"/>
  <c r="H371" i="1"/>
  <c r="G371" i="1"/>
  <c r="O370" i="1"/>
  <c r="I370" i="1"/>
  <c r="H370" i="1"/>
  <c r="G370" i="1"/>
  <c r="O369" i="1"/>
  <c r="I369" i="1"/>
  <c r="H369" i="1"/>
  <c r="G369" i="1"/>
  <c r="O368" i="1"/>
  <c r="I368" i="1"/>
  <c r="H368" i="1"/>
  <c r="G368" i="1"/>
  <c r="O367" i="1"/>
  <c r="I367" i="1"/>
  <c r="H367" i="1"/>
  <c r="G367" i="1"/>
  <c r="O366" i="1"/>
  <c r="I366" i="1"/>
  <c r="H366" i="1"/>
  <c r="G366" i="1"/>
  <c r="O365" i="1"/>
  <c r="I365" i="1"/>
  <c r="H365" i="1"/>
  <c r="G365" i="1"/>
  <c r="O364" i="1"/>
  <c r="I364" i="1"/>
  <c r="H364" i="1"/>
  <c r="G364" i="1"/>
  <c r="O363" i="1"/>
  <c r="I363" i="1"/>
  <c r="H363" i="1"/>
  <c r="G363" i="1"/>
  <c r="O362" i="1"/>
  <c r="I362" i="1"/>
  <c r="H362" i="1"/>
  <c r="G362" i="1"/>
  <c r="O361" i="1"/>
  <c r="I361" i="1"/>
  <c r="H361" i="1"/>
  <c r="G361" i="1"/>
  <c r="O360" i="1"/>
  <c r="I360" i="1"/>
  <c r="H360" i="1"/>
  <c r="G360" i="1"/>
  <c r="O359" i="1"/>
  <c r="I359" i="1"/>
  <c r="H359" i="1"/>
  <c r="G359" i="1"/>
  <c r="O358" i="1"/>
  <c r="I358" i="1"/>
  <c r="H358" i="1"/>
  <c r="G358" i="1"/>
  <c r="O357" i="1"/>
  <c r="I357" i="1"/>
  <c r="H357" i="1"/>
  <c r="G357" i="1"/>
  <c r="O356" i="1"/>
  <c r="I356" i="1"/>
  <c r="H356" i="1"/>
  <c r="G356" i="1"/>
  <c r="O355" i="1"/>
  <c r="I355" i="1"/>
  <c r="H355" i="1"/>
  <c r="G355" i="1"/>
  <c r="O354" i="1"/>
  <c r="I354" i="1"/>
  <c r="H354" i="1"/>
  <c r="G354" i="1"/>
  <c r="O353" i="1"/>
  <c r="I353" i="1"/>
  <c r="H353" i="1"/>
  <c r="G353" i="1"/>
  <c r="O352" i="1"/>
  <c r="I352" i="1"/>
  <c r="H352" i="1"/>
  <c r="G352" i="1"/>
  <c r="O351" i="1"/>
  <c r="I351" i="1"/>
  <c r="H351" i="1"/>
  <c r="G351" i="1"/>
  <c r="O350" i="1"/>
  <c r="I350" i="1"/>
  <c r="H350" i="1"/>
  <c r="G350" i="1"/>
  <c r="O349" i="1"/>
  <c r="I349" i="1"/>
  <c r="H349" i="1"/>
  <c r="G349" i="1"/>
  <c r="O348" i="1"/>
  <c r="I348" i="1"/>
  <c r="H348" i="1"/>
  <c r="G348" i="1"/>
  <c r="O347" i="1"/>
  <c r="I347" i="1"/>
  <c r="H347" i="1"/>
  <c r="G347" i="1"/>
  <c r="O346" i="1"/>
  <c r="I346" i="1"/>
  <c r="H346" i="1"/>
  <c r="G346" i="1"/>
  <c r="O345" i="1"/>
  <c r="I345" i="1"/>
  <c r="H345" i="1"/>
  <c r="G345" i="1"/>
  <c r="O344" i="1"/>
  <c r="I344" i="1"/>
  <c r="H344" i="1"/>
  <c r="G344" i="1"/>
  <c r="O343" i="1"/>
  <c r="I343" i="1"/>
  <c r="H343" i="1"/>
  <c r="G343" i="1"/>
  <c r="O342" i="1"/>
  <c r="I342" i="1"/>
  <c r="H342" i="1"/>
  <c r="G342" i="1"/>
  <c r="O341" i="1"/>
  <c r="I341" i="1"/>
  <c r="H341" i="1"/>
  <c r="G341" i="1"/>
  <c r="O340" i="1"/>
  <c r="I340" i="1"/>
  <c r="H340" i="1"/>
  <c r="G340" i="1"/>
  <c r="O339" i="1"/>
  <c r="I339" i="1"/>
  <c r="H339" i="1"/>
  <c r="G339" i="1"/>
  <c r="O338" i="1"/>
  <c r="I338" i="1"/>
  <c r="H338" i="1"/>
  <c r="G338" i="1"/>
  <c r="O337" i="1"/>
  <c r="I337" i="1"/>
  <c r="H337" i="1"/>
  <c r="G337" i="1"/>
  <c r="O336" i="1"/>
  <c r="I336" i="1"/>
  <c r="H336" i="1"/>
  <c r="G336" i="1"/>
  <c r="O335" i="1"/>
  <c r="I335" i="1"/>
  <c r="H335" i="1"/>
  <c r="G335" i="1"/>
  <c r="O334" i="1"/>
  <c r="I334" i="1"/>
  <c r="H334" i="1"/>
  <c r="G334" i="1"/>
  <c r="O333" i="1"/>
  <c r="I333" i="1"/>
  <c r="H333" i="1"/>
  <c r="G333" i="1"/>
  <c r="O332" i="1"/>
  <c r="I332" i="1"/>
  <c r="H332" i="1"/>
  <c r="G332" i="1"/>
  <c r="O331" i="1"/>
  <c r="I331" i="1"/>
  <c r="H331" i="1"/>
  <c r="G331" i="1"/>
  <c r="O330" i="1"/>
  <c r="I330" i="1"/>
  <c r="H330" i="1"/>
  <c r="G330" i="1"/>
  <c r="O329" i="1"/>
  <c r="I329" i="1"/>
  <c r="H329" i="1"/>
  <c r="G329" i="1"/>
  <c r="O328" i="1"/>
  <c r="I328" i="1"/>
  <c r="H328" i="1"/>
  <c r="G328" i="1"/>
  <c r="O327" i="1"/>
  <c r="I327" i="1"/>
  <c r="H327" i="1"/>
  <c r="G327" i="1"/>
  <c r="O326" i="1"/>
  <c r="I326" i="1"/>
  <c r="H326" i="1"/>
  <c r="G326" i="1"/>
  <c r="O325" i="1"/>
  <c r="I325" i="1"/>
  <c r="H325" i="1"/>
  <c r="G325" i="1"/>
  <c r="O324" i="1"/>
  <c r="I324" i="1"/>
  <c r="H324" i="1"/>
  <c r="G324" i="1"/>
  <c r="O323" i="1"/>
  <c r="I323" i="1"/>
  <c r="H323" i="1"/>
  <c r="G323" i="1"/>
  <c r="O322" i="1"/>
  <c r="I322" i="1"/>
  <c r="H322" i="1"/>
  <c r="G322" i="1"/>
  <c r="O321" i="1"/>
  <c r="I321" i="1"/>
  <c r="H321" i="1"/>
  <c r="G321" i="1"/>
  <c r="O320" i="1"/>
  <c r="I320" i="1"/>
  <c r="H320" i="1"/>
  <c r="G320" i="1"/>
  <c r="O319" i="1"/>
  <c r="I319" i="1"/>
  <c r="H319" i="1"/>
  <c r="G319" i="1"/>
  <c r="O318" i="1"/>
  <c r="I318" i="1"/>
  <c r="H318" i="1"/>
  <c r="G318" i="1"/>
  <c r="O317" i="1"/>
  <c r="I317" i="1"/>
  <c r="H317" i="1"/>
  <c r="G317" i="1"/>
  <c r="O316" i="1"/>
  <c r="I316" i="1"/>
  <c r="H316" i="1"/>
  <c r="G316" i="1"/>
  <c r="O315" i="1"/>
  <c r="I315" i="1"/>
  <c r="H315" i="1"/>
  <c r="G315" i="1"/>
  <c r="O314" i="1"/>
  <c r="I314" i="1"/>
  <c r="H314" i="1"/>
  <c r="G314" i="1"/>
  <c r="O313" i="1"/>
  <c r="I313" i="1"/>
  <c r="H313" i="1"/>
  <c r="G313" i="1"/>
  <c r="O312" i="1"/>
  <c r="I312" i="1"/>
  <c r="H312" i="1"/>
  <c r="G312" i="1"/>
  <c r="O311" i="1"/>
  <c r="I311" i="1"/>
  <c r="H311" i="1"/>
  <c r="G311" i="1"/>
  <c r="O310" i="1"/>
  <c r="I310" i="1"/>
  <c r="H310" i="1"/>
  <c r="G310" i="1"/>
  <c r="O309" i="1"/>
  <c r="I309" i="1"/>
  <c r="H309" i="1"/>
  <c r="G309" i="1"/>
  <c r="O308" i="1"/>
  <c r="I308" i="1"/>
  <c r="H308" i="1"/>
  <c r="G308" i="1"/>
  <c r="O307" i="1"/>
  <c r="I307" i="1"/>
  <c r="H307" i="1"/>
  <c r="G307" i="1"/>
  <c r="O306" i="1"/>
  <c r="I306" i="1"/>
  <c r="H306" i="1"/>
  <c r="G306" i="1"/>
  <c r="O305" i="1"/>
  <c r="I305" i="1"/>
  <c r="H305" i="1"/>
  <c r="G305" i="1"/>
  <c r="O304" i="1"/>
  <c r="I304" i="1"/>
  <c r="H304" i="1"/>
  <c r="G304" i="1"/>
  <c r="O303" i="1"/>
  <c r="I303" i="1"/>
  <c r="H303" i="1"/>
  <c r="G303" i="1"/>
  <c r="O302" i="1"/>
  <c r="I302" i="1"/>
  <c r="H302" i="1"/>
  <c r="G302" i="1"/>
  <c r="O301" i="1"/>
  <c r="I301" i="1"/>
  <c r="H301" i="1"/>
  <c r="G301" i="1"/>
  <c r="O300" i="1"/>
  <c r="I300" i="1"/>
  <c r="H300" i="1"/>
  <c r="G300" i="1"/>
  <c r="O299" i="1"/>
  <c r="I299" i="1"/>
  <c r="H299" i="1"/>
  <c r="G299" i="1"/>
  <c r="O298" i="1"/>
  <c r="I298" i="1"/>
  <c r="H298" i="1"/>
  <c r="G298" i="1"/>
  <c r="O297" i="1"/>
  <c r="I297" i="1"/>
  <c r="H297" i="1"/>
  <c r="G297" i="1"/>
  <c r="O296" i="1"/>
  <c r="I296" i="1"/>
  <c r="H296" i="1"/>
  <c r="G296" i="1"/>
  <c r="O295" i="1"/>
  <c r="I295" i="1"/>
  <c r="H295" i="1"/>
  <c r="G295" i="1"/>
  <c r="O294" i="1"/>
  <c r="I294" i="1"/>
  <c r="H294" i="1"/>
  <c r="G294" i="1"/>
  <c r="O293" i="1"/>
  <c r="I293" i="1"/>
  <c r="H293" i="1"/>
  <c r="G293" i="1"/>
  <c r="O292" i="1"/>
  <c r="I292" i="1"/>
  <c r="H292" i="1"/>
  <c r="G292" i="1"/>
  <c r="O291" i="1"/>
  <c r="I291" i="1"/>
  <c r="H291" i="1"/>
  <c r="G291" i="1"/>
  <c r="O290" i="1"/>
  <c r="I290" i="1"/>
  <c r="H290" i="1"/>
  <c r="G290" i="1"/>
  <c r="O289" i="1"/>
  <c r="I289" i="1"/>
  <c r="H289" i="1"/>
  <c r="G289" i="1"/>
  <c r="O288" i="1"/>
  <c r="I288" i="1"/>
  <c r="H288" i="1"/>
  <c r="G288" i="1"/>
  <c r="O287" i="1"/>
  <c r="I287" i="1"/>
  <c r="H287" i="1"/>
  <c r="G287" i="1"/>
  <c r="O286" i="1"/>
  <c r="I286" i="1"/>
  <c r="H286" i="1"/>
  <c r="G286" i="1"/>
  <c r="O285" i="1"/>
  <c r="I285" i="1"/>
  <c r="H285" i="1"/>
  <c r="G285" i="1"/>
  <c r="O284" i="1"/>
  <c r="I284" i="1"/>
  <c r="H284" i="1"/>
  <c r="G284" i="1"/>
  <c r="O283" i="1"/>
  <c r="I283" i="1"/>
  <c r="H283" i="1"/>
  <c r="G283" i="1"/>
  <c r="O282" i="1"/>
  <c r="I282" i="1"/>
  <c r="H282" i="1"/>
  <c r="G282" i="1"/>
  <c r="O281" i="1"/>
  <c r="I281" i="1"/>
  <c r="H281" i="1"/>
  <c r="G281" i="1"/>
  <c r="O280" i="1"/>
  <c r="I280" i="1"/>
  <c r="H280" i="1"/>
  <c r="G280" i="1"/>
  <c r="O279" i="1"/>
  <c r="I279" i="1"/>
  <c r="H279" i="1"/>
  <c r="G279" i="1"/>
  <c r="O278" i="1"/>
  <c r="I278" i="1"/>
  <c r="H278" i="1"/>
  <c r="G278" i="1"/>
  <c r="O277" i="1"/>
  <c r="I277" i="1"/>
  <c r="H277" i="1"/>
  <c r="G277" i="1"/>
  <c r="O276" i="1"/>
  <c r="I276" i="1"/>
  <c r="H276" i="1"/>
  <c r="G276" i="1"/>
  <c r="O275" i="1"/>
  <c r="I275" i="1"/>
  <c r="H275" i="1"/>
  <c r="G275" i="1"/>
  <c r="O274" i="1"/>
  <c r="I274" i="1"/>
  <c r="H274" i="1"/>
  <c r="G274" i="1"/>
  <c r="O273" i="1"/>
  <c r="I273" i="1"/>
  <c r="H273" i="1"/>
  <c r="G273" i="1"/>
  <c r="O272" i="1"/>
  <c r="I272" i="1"/>
  <c r="H272" i="1"/>
  <c r="G272" i="1"/>
  <c r="O271" i="1"/>
  <c r="I271" i="1"/>
  <c r="H271" i="1"/>
  <c r="G271" i="1"/>
  <c r="O270" i="1"/>
  <c r="I270" i="1"/>
  <c r="H270" i="1"/>
  <c r="G270" i="1"/>
  <c r="O269" i="1"/>
  <c r="I269" i="1"/>
  <c r="H269" i="1"/>
  <c r="G269" i="1"/>
  <c r="O268" i="1"/>
  <c r="I268" i="1"/>
  <c r="H268" i="1"/>
  <c r="G268" i="1"/>
  <c r="O267" i="1"/>
  <c r="I267" i="1"/>
  <c r="H267" i="1"/>
  <c r="G267" i="1"/>
  <c r="O266" i="1"/>
  <c r="I266" i="1"/>
  <c r="H266" i="1"/>
  <c r="G266" i="1"/>
  <c r="O265" i="1"/>
  <c r="I265" i="1"/>
  <c r="H265" i="1"/>
  <c r="G265" i="1"/>
  <c r="O264" i="1"/>
  <c r="I264" i="1"/>
  <c r="H264" i="1"/>
  <c r="G264" i="1"/>
  <c r="O263" i="1"/>
  <c r="I263" i="1"/>
  <c r="H263" i="1"/>
  <c r="G263" i="1"/>
  <c r="O262" i="1"/>
  <c r="I262" i="1"/>
  <c r="H262" i="1"/>
  <c r="G262" i="1"/>
  <c r="O261" i="1"/>
  <c r="I261" i="1"/>
  <c r="H261" i="1"/>
  <c r="G261" i="1"/>
  <c r="O260" i="1"/>
  <c r="I260" i="1"/>
  <c r="H260" i="1"/>
  <c r="G260" i="1"/>
  <c r="O259" i="1"/>
  <c r="I259" i="1"/>
  <c r="H259" i="1"/>
  <c r="G259" i="1"/>
  <c r="O258" i="1"/>
  <c r="I258" i="1"/>
  <c r="H258" i="1"/>
  <c r="G258" i="1"/>
  <c r="O257" i="1"/>
  <c r="I257" i="1"/>
  <c r="H257" i="1"/>
  <c r="G257" i="1"/>
  <c r="O256" i="1"/>
  <c r="I256" i="1"/>
  <c r="H256" i="1"/>
  <c r="G256" i="1"/>
  <c r="O255" i="1"/>
  <c r="I255" i="1"/>
  <c r="H255" i="1"/>
  <c r="G255" i="1"/>
  <c r="O254" i="1"/>
  <c r="I254" i="1"/>
  <c r="H254" i="1"/>
  <c r="G254" i="1"/>
  <c r="O253" i="1"/>
  <c r="I253" i="1"/>
  <c r="H253" i="1"/>
  <c r="G253" i="1"/>
  <c r="O252" i="1"/>
  <c r="I252" i="1"/>
  <c r="H252" i="1"/>
  <c r="G252" i="1"/>
  <c r="O251" i="1"/>
  <c r="I251" i="1"/>
  <c r="H251" i="1"/>
  <c r="G251" i="1"/>
  <c r="O250" i="1"/>
  <c r="I250" i="1"/>
  <c r="H250" i="1"/>
  <c r="G250" i="1"/>
  <c r="O249" i="1"/>
  <c r="I249" i="1"/>
  <c r="H249" i="1"/>
  <c r="G249" i="1"/>
  <c r="O248" i="1"/>
  <c r="I248" i="1"/>
  <c r="H248" i="1"/>
  <c r="G248" i="1"/>
  <c r="O247" i="1"/>
  <c r="I247" i="1"/>
  <c r="H247" i="1"/>
  <c r="G247" i="1"/>
  <c r="O246" i="1"/>
  <c r="I246" i="1"/>
  <c r="H246" i="1"/>
  <c r="G246" i="1"/>
  <c r="O245" i="1"/>
  <c r="I245" i="1"/>
  <c r="H245" i="1"/>
  <c r="G245" i="1"/>
  <c r="O244" i="1"/>
  <c r="I244" i="1"/>
  <c r="H244" i="1"/>
  <c r="G244" i="1"/>
  <c r="O243" i="1"/>
  <c r="I243" i="1"/>
  <c r="H243" i="1"/>
  <c r="G243" i="1"/>
  <c r="O242" i="1"/>
  <c r="I242" i="1"/>
  <c r="H242" i="1"/>
  <c r="G242" i="1"/>
  <c r="O241" i="1"/>
  <c r="I241" i="1"/>
  <c r="H241" i="1"/>
  <c r="G241" i="1"/>
  <c r="O240" i="1"/>
  <c r="I240" i="1"/>
  <c r="H240" i="1"/>
  <c r="G240" i="1"/>
  <c r="O239" i="1"/>
  <c r="I239" i="1"/>
  <c r="H239" i="1"/>
  <c r="G239" i="1"/>
  <c r="O238" i="1"/>
  <c r="I238" i="1"/>
  <c r="H238" i="1"/>
  <c r="G238" i="1"/>
  <c r="O237" i="1"/>
  <c r="I237" i="1"/>
  <c r="H237" i="1"/>
  <c r="G237" i="1"/>
  <c r="O236" i="1"/>
  <c r="I236" i="1"/>
  <c r="H236" i="1"/>
  <c r="G236" i="1"/>
  <c r="O235" i="1"/>
  <c r="I235" i="1"/>
  <c r="H235" i="1"/>
  <c r="G235" i="1"/>
  <c r="O234" i="1"/>
  <c r="I234" i="1"/>
  <c r="H234" i="1"/>
  <c r="G234" i="1"/>
  <c r="O233" i="1"/>
  <c r="I233" i="1"/>
  <c r="H233" i="1"/>
  <c r="G233" i="1"/>
  <c r="O232" i="1"/>
  <c r="I232" i="1"/>
  <c r="H232" i="1"/>
  <c r="G232" i="1"/>
  <c r="O231" i="1"/>
  <c r="I231" i="1"/>
  <c r="H231" i="1"/>
  <c r="G231" i="1"/>
  <c r="O230" i="1"/>
  <c r="I230" i="1"/>
  <c r="H230" i="1"/>
  <c r="G230" i="1"/>
  <c r="O229" i="1"/>
  <c r="I229" i="1"/>
  <c r="H229" i="1"/>
  <c r="G229" i="1"/>
  <c r="O228" i="1"/>
  <c r="I228" i="1"/>
  <c r="H228" i="1"/>
  <c r="G228" i="1"/>
  <c r="O227" i="1"/>
  <c r="I227" i="1"/>
  <c r="H227" i="1"/>
  <c r="G227" i="1"/>
  <c r="O226" i="1"/>
  <c r="I226" i="1"/>
  <c r="H226" i="1"/>
  <c r="G226" i="1"/>
  <c r="O225" i="1"/>
  <c r="I225" i="1"/>
  <c r="H225" i="1"/>
  <c r="G225" i="1"/>
  <c r="O224" i="1"/>
  <c r="I224" i="1"/>
  <c r="H224" i="1"/>
  <c r="G224" i="1"/>
  <c r="O223" i="1"/>
  <c r="I223" i="1"/>
  <c r="H223" i="1"/>
  <c r="G223" i="1"/>
  <c r="O222" i="1"/>
  <c r="I222" i="1"/>
  <c r="H222" i="1"/>
  <c r="G222" i="1"/>
  <c r="O221" i="1"/>
  <c r="I221" i="1"/>
  <c r="H221" i="1"/>
  <c r="G221" i="1"/>
  <c r="O220" i="1"/>
  <c r="I220" i="1"/>
  <c r="H220" i="1"/>
  <c r="G220" i="1"/>
  <c r="O219" i="1"/>
  <c r="I219" i="1"/>
  <c r="H219" i="1"/>
  <c r="G219" i="1"/>
  <c r="O218" i="1"/>
  <c r="I218" i="1"/>
  <c r="H218" i="1"/>
  <c r="G218" i="1"/>
  <c r="O217" i="1"/>
  <c r="I217" i="1"/>
  <c r="H217" i="1"/>
  <c r="G217" i="1"/>
  <c r="O216" i="1"/>
  <c r="I216" i="1"/>
  <c r="H216" i="1"/>
  <c r="G216" i="1"/>
  <c r="O215" i="1"/>
  <c r="I215" i="1"/>
  <c r="H215" i="1"/>
  <c r="G215" i="1"/>
  <c r="O214" i="1"/>
  <c r="I214" i="1"/>
  <c r="H214" i="1"/>
  <c r="G214" i="1"/>
  <c r="O213" i="1"/>
  <c r="I213" i="1"/>
  <c r="H213" i="1"/>
  <c r="G213" i="1"/>
  <c r="O212" i="1"/>
  <c r="I212" i="1"/>
  <c r="H212" i="1"/>
  <c r="G212" i="1"/>
  <c r="O211" i="1"/>
  <c r="I211" i="1"/>
  <c r="H211" i="1"/>
  <c r="G211" i="1"/>
  <c r="O210" i="1"/>
  <c r="I210" i="1"/>
  <c r="H210" i="1"/>
  <c r="G210" i="1"/>
  <c r="O209" i="1"/>
  <c r="I209" i="1"/>
  <c r="H209" i="1"/>
  <c r="G209" i="1"/>
  <c r="O208" i="1"/>
  <c r="I208" i="1"/>
  <c r="H208" i="1"/>
  <c r="G208" i="1"/>
  <c r="O207" i="1"/>
  <c r="I207" i="1"/>
  <c r="H207" i="1"/>
  <c r="G207" i="1"/>
  <c r="O206" i="1"/>
  <c r="I206" i="1"/>
  <c r="H206" i="1"/>
  <c r="G206" i="1"/>
  <c r="O205" i="1"/>
  <c r="I205" i="1"/>
  <c r="H205" i="1"/>
  <c r="G205" i="1"/>
  <c r="O204" i="1"/>
  <c r="I204" i="1"/>
  <c r="H204" i="1"/>
  <c r="G204" i="1"/>
  <c r="O203" i="1"/>
  <c r="I203" i="1"/>
  <c r="H203" i="1"/>
  <c r="G203" i="1"/>
  <c r="O202" i="1"/>
  <c r="I202" i="1"/>
  <c r="H202" i="1"/>
  <c r="G202" i="1"/>
  <c r="O201" i="1"/>
  <c r="I201" i="1"/>
  <c r="H201" i="1"/>
  <c r="G201" i="1"/>
  <c r="O200" i="1"/>
  <c r="I200" i="1"/>
  <c r="H200" i="1"/>
  <c r="G200" i="1"/>
  <c r="O199" i="1"/>
  <c r="I199" i="1"/>
  <c r="H199" i="1"/>
  <c r="G199" i="1"/>
  <c r="O198" i="1"/>
  <c r="I198" i="1"/>
  <c r="H198" i="1"/>
  <c r="G198" i="1"/>
  <c r="O197" i="1"/>
  <c r="I197" i="1"/>
  <c r="H197" i="1"/>
  <c r="G197" i="1"/>
  <c r="O196" i="1"/>
  <c r="I196" i="1"/>
  <c r="H196" i="1"/>
  <c r="G196" i="1"/>
  <c r="O195" i="1"/>
  <c r="I195" i="1"/>
  <c r="H195" i="1"/>
  <c r="G195" i="1"/>
  <c r="O194" i="1"/>
  <c r="I194" i="1"/>
  <c r="H194" i="1"/>
  <c r="G194" i="1"/>
  <c r="O193" i="1"/>
  <c r="I193" i="1"/>
  <c r="H193" i="1"/>
  <c r="G193" i="1"/>
  <c r="O192" i="1"/>
  <c r="I192" i="1"/>
  <c r="H192" i="1"/>
  <c r="G192" i="1"/>
  <c r="O191" i="1"/>
  <c r="I191" i="1"/>
  <c r="H191" i="1"/>
  <c r="G191" i="1"/>
  <c r="O190" i="1"/>
  <c r="I190" i="1"/>
  <c r="H190" i="1"/>
  <c r="G190" i="1"/>
  <c r="O189" i="1"/>
  <c r="I189" i="1"/>
  <c r="H189" i="1"/>
  <c r="G189" i="1"/>
  <c r="O188" i="1"/>
  <c r="I188" i="1"/>
  <c r="H188" i="1"/>
  <c r="G188" i="1"/>
  <c r="O187" i="1"/>
  <c r="I187" i="1"/>
  <c r="H187" i="1"/>
  <c r="G187" i="1"/>
  <c r="O186" i="1"/>
  <c r="I186" i="1"/>
  <c r="H186" i="1"/>
  <c r="G186" i="1"/>
  <c r="O185" i="1"/>
  <c r="I185" i="1"/>
  <c r="H185" i="1"/>
  <c r="G185" i="1"/>
  <c r="O184" i="1"/>
  <c r="I184" i="1"/>
  <c r="H184" i="1"/>
  <c r="G184" i="1"/>
  <c r="O183" i="1"/>
  <c r="I183" i="1"/>
  <c r="H183" i="1"/>
  <c r="G183" i="1"/>
  <c r="O182" i="1"/>
  <c r="I182" i="1"/>
  <c r="H182" i="1"/>
  <c r="G182" i="1"/>
  <c r="O181" i="1"/>
  <c r="I181" i="1"/>
  <c r="H181" i="1"/>
  <c r="G181" i="1"/>
  <c r="O180" i="1"/>
  <c r="I180" i="1"/>
  <c r="H180" i="1"/>
  <c r="G180" i="1"/>
  <c r="O179" i="1"/>
  <c r="I179" i="1"/>
  <c r="H179" i="1"/>
  <c r="G179" i="1"/>
  <c r="O178" i="1"/>
  <c r="I178" i="1"/>
  <c r="H178" i="1"/>
  <c r="G178" i="1"/>
  <c r="O177" i="1"/>
  <c r="I177" i="1"/>
  <c r="H177" i="1"/>
  <c r="G177" i="1"/>
  <c r="O176" i="1"/>
  <c r="I176" i="1"/>
  <c r="H176" i="1"/>
  <c r="G176" i="1"/>
  <c r="O175" i="1"/>
  <c r="I175" i="1"/>
  <c r="H175" i="1"/>
  <c r="G175" i="1"/>
  <c r="O174" i="1"/>
  <c r="I174" i="1"/>
  <c r="H174" i="1"/>
  <c r="G174" i="1"/>
  <c r="O173" i="1"/>
  <c r="I173" i="1"/>
  <c r="H173" i="1"/>
  <c r="G173" i="1"/>
  <c r="O172" i="1"/>
  <c r="I172" i="1"/>
  <c r="H172" i="1"/>
  <c r="G172" i="1"/>
  <c r="O171" i="1"/>
  <c r="I171" i="1"/>
  <c r="H171" i="1"/>
  <c r="G171" i="1"/>
  <c r="O170" i="1"/>
  <c r="I170" i="1"/>
  <c r="H170" i="1"/>
  <c r="G170" i="1"/>
  <c r="O169" i="1"/>
  <c r="I169" i="1"/>
  <c r="H169" i="1"/>
  <c r="G169" i="1"/>
  <c r="O168" i="1"/>
  <c r="I168" i="1"/>
  <c r="H168" i="1"/>
  <c r="G168" i="1"/>
  <c r="O167" i="1"/>
  <c r="I167" i="1"/>
  <c r="H167" i="1"/>
  <c r="G167" i="1"/>
  <c r="O166" i="1"/>
  <c r="I166" i="1"/>
  <c r="H166" i="1"/>
  <c r="G166" i="1"/>
  <c r="O165" i="1"/>
  <c r="I165" i="1"/>
  <c r="H165" i="1"/>
  <c r="G165" i="1"/>
  <c r="O164" i="1"/>
  <c r="I164" i="1"/>
  <c r="H164" i="1"/>
  <c r="G164" i="1"/>
  <c r="O163" i="1"/>
  <c r="I163" i="1"/>
  <c r="H163" i="1"/>
  <c r="G163" i="1"/>
  <c r="O162" i="1"/>
  <c r="I162" i="1"/>
  <c r="H162" i="1"/>
  <c r="G162" i="1"/>
  <c r="O161" i="1"/>
  <c r="I161" i="1"/>
  <c r="H161" i="1"/>
  <c r="G161" i="1"/>
  <c r="O160" i="1"/>
  <c r="I160" i="1"/>
  <c r="H160" i="1"/>
  <c r="G160" i="1"/>
  <c r="O159" i="1"/>
  <c r="I159" i="1"/>
  <c r="H159" i="1"/>
  <c r="G159" i="1"/>
  <c r="O158" i="1"/>
  <c r="I158" i="1"/>
  <c r="H158" i="1"/>
  <c r="G158" i="1"/>
  <c r="O157" i="1"/>
  <c r="I157" i="1"/>
  <c r="H157" i="1"/>
  <c r="G157" i="1"/>
  <c r="O156" i="1"/>
  <c r="I156" i="1"/>
  <c r="H156" i="1"/>
  <c r="G156" i="1"/>
  <c r="O155" i="1"/>
  <c r="I155" i="1"/>
  <c r="H155" i="1"/>
  <c r="G155" i="1"/>
  <c r="O154" i="1"/>
  <c r="I154" i="1"/>
  <c r="H154" i="1"/>
  <c r="G154" i="1"/>
  <c r="O153" i="1"/>
  <c r="I153" i="1"/>
  <c r="H153" i="1"/>
  <c r="G153" i="1"/>
  <c r="O152" i="1"/>
  <c r="I152" i="1"/>
  <c r="H152" i="1"/>
  <c r="G152" i="1"/>
  <c r="O151" i="1"/>
  <c r="I151" i="1"/>
  <c r="H151" i="1"/>
  <c r="G151" i="1"/>
  <c r="O150" i="1"/>
  <c r="I150" i="1"/>
  <c r="H150" i="1"/>
  <c r="G150" i="1"/>
  <c r="O149" i="1"/>
  <c r="I149" i="1"/>
  <c r="H149" i="1"/>
  <c r="G149" i="1"/>
  <c r="O148" i="1"/>
  <c r="I148" i="1"/>
  <c r="H148" i="1"/>
  <c r="G148" i="1"/>
  <c r="O147" i="1"/>
  <c r="I147" i="1"/>
  <c r="H147" i="1"/>
  <c r="G147" i="1"/>
  <c r="O146" i="1"/>
  <c r="I146" i="1"/>
  <c r="H146" i="1"/>
  <c r="G146" i="1"/>
  <c r="O145" i="1"/>
  <c r="I145" i="1"/>
  <c r="H145" i="1"/>
  <c r="G145" i="1"/>
  <c r="O144" i="1"/>
  <c r="I144" i="1"/>
  <c r="H144" i="1"/>
  <c r="G144" i="1"/>
  <c r="O143" i="1"/>
  <c r="I143" i="1"/>
  <c r="H143" i="1"/>
  <c r="G143" i="1"/>
  <c r="O142" i="1"/>
  <c r="I142" i="1"/>
  <c r="H142" i="1"/>
  <c r="G142" i="1"/>
  <c r="O141" i="1"/>
  <c r="I141" i="1"/>
  <c r="H141" i="1"/>
  <c r="G141" i="1"/>
  <c r="O140" i="1"/>
  <c r="I140" i="1"/>
  <c r="H140" i="1"/>
  <c r="G140" i="1"/>
  <c r="O139" i="1"/>
  <c r="I139" i="1"/>
  <c r="H139" i="1"/>
  <c r="G139" i="1"/>
  <c r="O138" i="1"/>
  <c r="I138" i="1"/>
  <c r="H138" i="1"/>
  <c r="G138" i="1"/>
  <c r="O137" i="1"/>
  <c r="I137" i="1"/>
  <c r="H137" i="1"/>
  <c r="G137" i="1"/>
  <c r="O136" i="1"/>
  <c r="I136" i="1"/>
  <c r="H136" i="1"/>
  <c r="G136" i="1"/>
  <c r="O135" i="1"/>
  <c r="I135" i="1"/>
  <c r="H135" i="1"/>
  <c r="G135" i="1"/>
  <c r="O134" i="1"/>
  <c r="I134" i="1"/>
  <c r="H134" i="1"/>
  <c r="G134" i="1"/>
  <c r="O133" i="1"/>
  <c r="I133" i="1"/>
  <c r="H133" i="1"/>
  <c r="G133" i="1"/>
  <c r="O132" i="1"/>
  <c r="I132" i="1"/>
  <c r="H132" i="1"/>
  <c r="G132" i="1"/>
  <c r="O131" i="1"/>
  <c r="I131" i="1"/>
  <c r="H131" i="1"/>
  <c r="G131" i="1"/>
  <c r="O130" i="1"/>
  <c r="I130" i="1"/>
  <c r="H130" i="1"/>
  <c r="G130" i="1"/>
  <c r="O129" i="1"/>
  <c r="I129" i="1"/>
  <c r="H129" i="1"/>
  <c r="G129" i="1"/>
  <c r="O128" i="1"/>
  <c r="I128" i="1"/>
  <c r="H128" i="1"/>
  <c r="G128" i="1"/>
  <c r="O127" i="1"/>
  <c r="I127" i="1"/>
  <c r="H127" i="1"/>
  <c r="G127" i="1"/>
  <c r="O126" i="1"/>
  <c r="I126" i="1"/>
  <c r="H126" i="1"/>
  <c r="G126" i="1"/>
  <c r="O125" i="1"/>
  <c r="I125" i="1"/>
  <c r="H125" i="1"/>
  <c r="G125" i="1"/>
  <c r="O124" i="1"/>
  <c r="I124" i="1"/>
  <c r="H124" i="1"/>
  <c r="G124" i="1"/>
  <c r="O123" i="1"/>
  <c r="I123" i="1"/>
  <c r="H123" i="1"/>
  <c r="G123" i="1"/>
  <c r="O122" i="1"/>
  <c r="I122" i="1"/>
  <c r="H122" i="1"/>
  <c r="G122" i="1"/>
  <c r="O121" i="1"/>
  <c r="I121" i="1"/>
  <c r="H121" i="1"/>
  <c r="G121" i="1"/>
  <c r="O120" i="1"/>
  <c r="I120" i="1"/>
  <c r="H120" i="1"/>
  <c r="G120" i="1"/>
  <c r="O119" i="1"/>
  <c r="I119" i="1"/>
  <c r="H119" i="1"/>
  <c r="G119" i="1"/>
  <c r="O118" i="1"/>
  <c r="I118" i="1"/>
  <c r="H118" i="1"/>
  <c r="G118" i="1"/>
  <c r="O117" i="1"/>
  <c r="I117" i="1"/>
  <c r="H117" i="1"/>
  <c r="G117" i="1"/>
  <c r="O116" i="1"/>
  <c r="I116" i="1"/>
  <c r="H116" i="1"/>
  <c r="G116" i="1"/>
  <c r="O115" i="1"/>
  <c r="I115" i="1"/>
  <c r="H115" i="1"/>
  <c r="G115" i="1"/>
  <c r="O114" i="1"/>
  <c r="I114" i="1"/>
  <c r="H114" i="1"/>
  <c r="G114" i="1"/>
  <c r="O113" i="1"/>
  <c r="I113" i="1"/>
  <c r="H113" i="1"/>
  <c r="G113" i="1"/>
  <c r="O112" i="1"/>
  <c r="I112" i="1"/>
  <c r="H112" i="1"/>
  <c r="G112" i="1"/>
  <c r="O111" i="1"/>
  <c r="I111" i="1"/>
  <c r="H111" i="1"/>
  <c r="G111" i="1"/>
  <c r="O110" i="1"/>
  <c r="I110" i="1"/>
  <c r="H110" i="1"/>
  <c r="G110" i="1"/>
  <c r="O109" i="1"/>
  <c r="I109" i="1"/>
  <c r="H109" i="1"/>
  <c r="G109" i="1"/>
  <c r="O108" i="1"/>
  <c r="I108" i="1"/>
  <c r="H108" i="1"/>
  <c r="G108" i="1"/>
  <c r="O107" i="1"/>
  <c r="I107" i="1"/>
  <c r="H107" i="1"/>
  <c r="G107" i="1"/>
  <c r="O106" i="1"/>
  <c r="I106" i="1"/>
  <c r="H106" i="1"/>
  <c r="G106" i="1"/>
  <c r="O105" i="1"/>
  <c r="I105" i="1"/>
  <c r="H105" i="1"/>
  <c r="G105" i="1"/>
  <c r="O104" i="1"/>
  <c r="I104" i="1"/>
  <c r="H104" i="1"/>
  <c r="G104" i="1"/>
  <c r="O103" i="1"/>
  <c r="I103" i="1"/>
  <c r="H103" i="1"/>
  <c r="G103" i="1"/>
  <c r="O102" i="1"/>
  <c r="I102" i="1"/>
  <c r="H102" i="1"/>
  <c r="G102" i="1"/>
  <c r="O101" i="1"/>
  <c r="I101" i="1"/>
  <c r="H101" i="1"/>
  <c r="G101" i="1"/>
  <c r="O100" i="1"/>
  <c r="I100" i="1"/>
  <c r="H100" i="1"/>
  <c r="G100" i="1"/>
  <c r="O99" i="1"/>
  <c r="I99" i="1"/>
  <c r="H99" i="1"/>
  <c r="G99" i="1"/>
  <c r="O98" i="1"/>
  <c r="I98" i="1"/>
  <c r="H98" i="1"/>
  <c r="G98" i="1"/>
  <c r="O97" i="1"/>
  <c r="I97" i="1"/>
  <c r="H97" i="1"/>
  <c r="G97" i="1"/>
  <c r="O96" i="1"/>
  <c r="I96" i="1"/>
  <c r="H96" i="1"/>
  <c r="G96" i="1"/>
  <c r="O95" i="1"/>
  <c r="I95" i="1"/>
  <c r="H95" i="1"/>
  <c r="G95" i="1"/>
  <c r="O94" i="1"/>
  <c r="I94" i="1"/>
  <c r="H94" i="1"/>
  <c r="G94" i="1"/>
  <c r="O93" i="1"/>
  <c r="I93" i="1"/>
  <c r="H93" i="1"/>
  <c r="G93" i="1"/>
  <c r="O92" i="1"/>
  <c r="I92" i="1"/>
  <c r="H92" i="1"/>
  <c r="G92" i="1"/>
  <c r="O91" i="1"/>
  <c r="I91" i="1"/>
  <c r="H91" i="1"/>
  <c r="G91" i="1"/>
  <c r="O90" i="1"/>
  <c r="I90" i="1"/>
  <c r="H90" i="1"/>
  <c r="G90" i="1"/>
  <c r="O89" i="1"/>
  <c r="I89" i="1"/>
  <c r="H89" i="1"/>
  <c r="G89" i="1"/>
  <c r="O88" i="1"/>
  <c r="I88" i="1"/>
  <c r="H88" i="1"/>
  <c r="G88" i="1"/>
  <c r="O87" i="1"/>
  <c r="I87" i="1"/>
  <c r="H87" i="1"/>
  <c r="G87" i="1"/>
  <c r="O86" i="1"/>
  <c r="I86" i="1"/>
  <c r="H86" i="1"/>
  <c r="G86" i="1"/>
  <c r="O85" i="1"/>
  <c r="I85" i="1"/>
  <c r="H85" i="1"/>
  <c r="G85" i="1"/>
  <c r="O84" i="1"/>
  <c r="I84" i="1"/>
  <c r="H84" i="1"/>
  <c r="G84" i="1"/>
  <c r="O83" i="1"/>
  <c r="I83" i="1"/>
  <c r="H83" i="1"/>
  <c r="G83" i="1"/>
  <c r="O82" i="1"/>
  <c r="I82" i="1"/>
  <c r="H82" i="1"/>
  <c r="G82" i="1"/>
  <c r="O81" i="1"/>
  <c r="I81" i="1"/>
  <c r="H81" i="1"/>
  <c r="G81" i="1"/>
  <c r="O80" i="1"/>
  <c r="I80" i="1"/>
  <c r="H80" i="1"/>
  <c r="G80" i="1"/>
  <c r="O79" i="1"/>
  <c r="I79" i="1"/>
  <c r="H79" i="1"/>
  <c r="G79" i="1"/>
  <c r="O78" i="1"/>
  <c r="I78" i="1"/>
  <c r="H78" i="1"/>
  <c r="G78" i="1"/>
  <c r="O77" i="1"/>
  <c r="I77" i="1"/>
  <c r="H77" i="1"/>
  <c r="G77" i="1"/>
  <c r="O76" i="1"/>
  <c r="I76" i="1"/>
  <c r="H76" i="1"/>
  <c r="G76" i="1"/>
  <c r="O75" i="1"/>
  <c r="I75" i="1"/>
  <c r="H75" i="1"/>
  <c r="G75" i="1"/>
  <c r="O74" i="1"/>
  <c r="I74" i="1"/>
  <c r="H74" i="1"/>
  <c r="G74" i="1"/>
  <c r="O73" i="1"/>
  <c r="I73" i="1"/>
  <c r="H73" i="1"/>
  <c r="G73" i="1"/>
  <c r="O72" i="1"/>
  <c r="I72" i="1"/>
  <c r="H72" i="1"/>
  <c r="G72" i="1"/>
  <c r="O71" i="1"/>
  <c r="I71" i="1"/>
  <c r="H71" i="1"/>
  <c r="G71" i="1"/>
  <c r="O70" i="1"/>
  <c r="I70" i="1"/>
  <c r="H70" i="1"/>
  <c r="G70" i="1"/>
  <c r="O69" i="1"/>
  <c r="I69" i="1"/>
  <c r="H69" i="1"/>
  <c r="G69" i="1"/>
  <c r="O68" i="1"/>
  <c r="I68" i="1"/>
  <c r="H68" i="1"/>
  <c r="G68" i="1"/>
  <c r="O67" i="1"/>
  <c r="I67" i="1"/>
  <c r="H67" i="1"/>
  <c r="G67" i="1"/>
  <c r="O66" i="1"/>
  <c r="I66" i="1"/>
  <c r="H66" i="1"/>
  <c r="G66" i="1"/>
  <c r="O65" i="1"/>
  <c r="I65" i="1"/>
  <c r="H65" i="1"/>
  <c r="G65" i="1"/>
  <c r="O64" i="1"/>
  <c r="I64" i="1"/>
  <c r="H64" i="1"/>
  <c r="G64" i="1"/>
  <c r="O63" i="1"/>
  <c r="I63" i="1"/>
  <c r="H63" i="1"/>
  <c r="G63" i="1"/>
  <c r="O62" i="1"/>
  <c r="I62" i="1"/>
  <c r="H62" i="1"/>
  <c r="G62" i="1"/>
  <c r="O61" i="1"/>
  <c r="I61" i="1"/>
  <c r="H61" i="1"/>
  <c r="G61" i="1"/>
  <c r="O60" i="1"/>
  <c r="I60" i="1"/>
  <c r="H60" i="1"/>
  <c r="G60" i="1"/>
  <c r="O59" i="1"/>
  <c r="I59" i="1"/>
  <c r="H59" i="1"/>
  <c r="G59" i="1"/>
  <c r="O58" i="1"/>
  <c r="I58" i="1"/>
  <c r="H58" i="1"/>
  <c r="G58" i="1"/>
  <c r="O57" i="1"/>
  <c r="I57" i="1"/>
  <c r="H57" i="1"/>
  <c r="G57" i="1"/>
  <c r="O56" i="1"/>
  <c r="I56" i="1"/>
  <c r="H56" i="1"/>
  <c r="G56" i="1"/>
  <c r="O55" i="1"/>
  <c r="I55" i="1"/>
  <c r="H55" i="1"/>
  <c r="G55" i="1"/>
  <c r="O54" i="1"/>
  <c r="I54" i="1"/>
  <c r="H54" i="1"/>
  <c r="G54" i="1"/>
  <c r="O53" i="1"/>
  <c r="I53" i="1"/>
  <c r="H53" i="1"/>
  <c r="G53" i="1"/>
  <c r="O52" i="1"/>
  <c r="I52" i="1"/>
  <c r="H52" i="1"/>
  <c r="G52" i="1"/>
  <c r="O51" i="1"/>
  <c r="I51" i="1"/>
  <c r="H51" i="1"/>
  <c r="G51" i="1"/>
  <c r="O50" i="1"/>
  <c r="I50" i="1"/>
  <c r="H50" i="1"/>
  <c r="G50" i="1"/>
  <c r="O49" i="1"/>
  <c r="I49" i="1"/>
  <c r="H49" i="1"/>
  <c r="G49" i="1"/>
  <c r="O48" i="1"/>
  <c r="I48" i="1"/>
  <c r="H48" i="1"/>
  <c r="G48" i="1"/>
  <c r="O47" i="1"/>
  <c r="I47" i="1"/>
  <c r="H47" i="1"/>
  <c r="G47" i="1"/>
  <c r="O46" i="1"/>
  <c r="I46" i="1"/>
  <c r="H46" i="1"/>
  <c r="G46" i="1"/>
  <c r="O45" i="1"/>
  <c r="I45" i="1"/>
  <c r="H45" i="1"/>
  <c r="G45" i="1"/>
  <c r="O44" i="1"/>
  <c r="I44" i="1"/>
  <c r="H44" i="1"/>
  <c r="G44" i="1"/>
  <c r="O43" i="1"/>
  <c r="I43" i="1"/>
  <c r="H43" i="1"/>
  <c r="G43" i="1"/>
  <c r="O42" i="1"/>
  <c r="I42" i="1"/>
  <c r="H42" i="1"/>
  <c r="G42" i="1"/>
  <c r="O41" i="1"/>
  <c r="I41" i="1"/>
  <c r="H41" i="1"/>
  <c r="G41" i="1"/>
  <c r="O40" i="1"/>
  <c r="I40" i="1"/>
  <c r="H40" i="1"/>
  <c r="G40" i="1"/>
  <c r="O39" i="1"/>
  <c r="I39" i="1"/>
  <c r="H39" i="1"/>
  <c r="G39" i="1"/>
  <c r="O38" i="1"/>
  <c r="I38" i="1"/>
  <c r="H38" i="1"/>
  <c r="G38" i="1"/>
  <c r="O37" i="1"/>
  <c r="I37" i="1"/>
  <c r="H37" i="1"/>
  <c r="G37" i="1"/>
  <c r="O36" i="1"/>
  <c r="I36" i="1"/>
  <c r="H36" i="1"/>
  <c r="G36" i="1"/>
  <c r="O35" i="1"/>
  <c r="I35" i="1"/>
  <c r="H35" i="1"/>
  <c r="G35" i="1"/>
  <c r="O34" i="1"/>
  <c r="I34" i="1"/>
  <c r="H34" i="1"/>
  <c r="G34" i="1"/>
  <c r="O33" i="1"/>
  <c r="I33" i="1"/>
  <c r="H33" i="1"/>
  <c r="G33" i="1"/>
  <c r="O32" i="1"/>
  <c r="I32" i="1"/>
  <c r="H32" i="1"/>
  <c r="G32" i="1"/>
  <c r="O31" i="1"/>
  <c r="I31" i="1"/>
  <c r="H31" i="1"/>
  <c r="G31" i="1"/>
  <c r="O30" i="1"/>
  <c r="I30" i="1"/>
  <c r="H30" i="1"/>
  <c r="G30" i="1"/>
  <c r="O29" i="1"/>
  <c r="I29" i="1"/>
  <c r="H29" i="1"/>
  <c r="G29" i="1"/>
  <c r="O28" i="1"/>
  <c r="I28" i="1"/>
  <c r="H28" i="1"/>
  <c r="G28" i="1"/>
  <c r="O27" i="1"/>
  <c r="I27" i="1"/>
  <c r="H27" i="1"/>
  <c r="G27" i="1"/>
  <c r="O26" i="1"/>
  <c r="I26" i="1"/>
  <c r="H26" i="1"/>
  <c r="G26" i="1"/>
  <c r="O25" i="1"/>
  <c r="I25" i="1"/>
  <c r="H25" i="1"/>
  <c r="G25" i="1"/>
  <c r="O24" i="1"/>
  <c r="I24" i="1"/>
  <c r="H24" i="1"/>
  <c r="G24" i="1"/>
  <c r="O23" i="1"/>
  <c r="I23" i="1"/>
  <c r="H23" i="1"/>
  <c r="G23" i="1"/>
  <c r="O22" i="1"/>
  <c r="I22" i="1"/>
  <c r="H22" i="1"/>
  <c r="G22" i="1"/>
  <c r="O21" i="1"/>
  <c r="I21" i="1"/>
  <c r="H21" i="1"/>
  <c r="G21" i="1"/>
  <c r="O20" i="1"/>
  <c r="I20" i="1"/>
  <c r="H20" i="1"/>
  <c r="G20" i="1"/>
  <c r="O19" i="1"/>
  <c r="I19" i="1"/>
  <c r="H19" i="1"/>
  <c r="G19" i="1"/>
  <c r="O18" i="1"/>
  <c r="I18" i="1"/>
  <c r="H18" i="1"/>
  <c r="G18" i="1"/>
  <c r="O17" i="1"/>
  <c r="I17" i="1"/>
  <c r="H17" i="1"/>
  <c r="G17" i="1"/>
  <c r="O16" i="1"/>
  <c r="I16" i="1"/>
  <c r="H16" i="1"/>
  <c r="G16" i="1"/>
  <c r="O15" i="1"/>
  <c r="I15" i="1"/>
  <c r="H15" i="1"/>
  <c r="G15" i="1"/>
  <c r="O14" i="1"/>
  <c r="I14" i="1"/>
  <c r="H14" i="1"/>
  <c r="G14" i="1"/>
  <c r="O13" i="1"/>
  <c r="I13" i="1"/>
  <c r="H13" i="1"/>
  <c r="G13" i="1"/>
  <c r="O12" i="1"/>
  <c r="I12" i="1"/>
  <c r="H12" i="1"/>
  <c r="G12" i="1"/>
  <c r="O11" i="1"/>
  <c r="I11" i="1"/>
  <c r="H11" i="1"/>
  <c r="G11" i="1"/>
  <c r="O10" i="1"/>
  <c r="I10" i="1"/>
  <c r="H10" i="1"/>
  <c r="G10" i="1"/>
  <c r="O9" i="1"/>
  <c r="I9" i="1"/>
  <c r="H9" i="1"/>
  <c r="G9" i="1"/>
  <c r="O8" i="1"/>
  <c r="I8" i="1"/>
  <c r="H8" i="1"/>
  <c r="G8" i="1"/>
  <c r="O7" i="1"/>
  <c r="I7" i="1"/>
  <c r="H7" i="1"/>
  <c r="G7" i="1"/>
  <c r="O6" i="1"/>
  <c r="I6" i="1"/>
  <c r="H6" i="1"/>
  <c r="G6" i="1"/>
  <c r="O5" i="1"/>
  <c r="I5" i="1"/>
  <c r="H5" i="1"/>
  <c r="G5" i="1"/>
  <c r="O4" i="1"/>
  <c r="I4" i="1"/>
  <c r="H4" i="1"/>
  <c r="G4" i="1"/>
  <c r="O3" i="1"/>
  <c r="I3" i="1"/>
  <c r="H3" i="1"/>
  <c r="G3" i="1"/>
  <c r="O2" i="1"/>
  <c r="I2" i="1"/>
  <c r="H2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9BBFA2-F833-4F8E-AB66-EE99C189111F}" keepAlive="1" name="Query - messy_clinic_appointments (3)" description="Connection to the 'messy_clinic_appointments (3)' query in the workbook." type="5" refreshedVersion="8" background="1" saveData="1">
    <dbPr connection="Provider=Microsoft.Mashup.OleDb.1;Data Source=$Workbook$;Location=&quot;messy_clinic_appointments (3)&quot;;Extended Properties=&quot;&quot;" command="SELECT * FROM [messy_clinic_appointments (3)]"/>
  </connection>
</connections>
</file>

<file path=xl/sharedStrings.xml><?xml version="1.0" encoding="utf-8"?>
<sst xmlns="http://schemas.openxmlformats.org/spreadsheetml/2006/main" count="5361" uniqueCount="1787">
  <si>
    <t>Patient_ID</t>
  </si>
  <si>
    <t>Age</t>
  </si>
  <si>
    <t>Age_Group</t>
  </si>
  <si>
    <t>Patient_Name</t>
  </si>
  <si>
    <t>Gender</t>
  </si>
  <si>
    <t>Appointment_Date</t>
  </si>
  <si>
    <t>Appointment_Year</t>
  </si>
  <si>
    <t>Appointment_Month</t>
  </si>
  <si>
    <t>Apointment_Month_Year</t>
  </si>
  <si>
    <t>Booking_Date</t>
  </si>
  <si>
    <t>Doctor</t>
  </si>
  <si>
    <t>Department</t>
  </si>
  <si>
    <t>Billing_Amount</t>
  </si>
  <si>
    <t>Follow_up_Required</t>
  </si>
  <si>
    <t>Booking_Lead_Days</t>
  </si>
  <si>
    <t>76+</t>
  </si>
  <si>
    <t>Jennifer Aguirre</t>
  </si>
  <si>
    <t>Male</t>
  </si>
  <si>
    <t>Richard Huang</t>
  </si>
  <si>
    <t>Neurology</t>
  </si>
  <si>
    <t>No</t>
  </si>
  <si>
    <t>Brianna Mcpherson</t>
  </si>
  <si>
    <t>Nathaniel Thompson</t>
  </si>
  <si>
    <t>General</t>
  </si>
  <si>
    <t>Yes</t>
  </si>
  <si>
    <t>Robert Hampton</t>
  </si>
  <si>
    <t>Kevin Wilkinson</t>
  </si>
  <si>
    <t>Brandi Boyd</t>
  </si>
  <si>
    <t>Female</t>
  </si>
  <si>
    <t>Mary Jacobson</t>
  </si>
  <si>
    <t>Cardiology</t>
  </si>
  <si>
    <t>Michele Perry</t>
  </si>
  <si>
    <t>Leslie Gomez</t>
  </si>
  <si>
    <t>Victor Everett</t>
  </si>
  <si>
    <t>Jacob Diaz</t>
  </si>
  <si>
    <t>Dana Martinez</t>
  </si>
  <si>
    <t>Barry Bennett</t>
  </si>
  <si>
    <t>Eduardo Martinez</t>
  </si>
  <si>
    <t>Craig Kelly</t>
  </si>
  <si>
    <t>Lawrence Ford</t>
  </si>
  <si>
    <t>Randall Watts</t>
  </si>
  <si>
    <t>Ryan Tucker</t>
  </si>
  <si>
    <t>Barbara Owens</t>
  </si>
  <si>
    <t>Orthopedics</t>
  </si>
  <si>
    <t>James Mendez</t>
  </si>
  <si>
    <t>Jackie Brooks</t>
  </si>
  <si>
    <t>Christine Herring</t>
  </si>
  <si>
    <t>Kristin Hartman</t>
  </si>
  <si>
    <t>Chad Tyler</t>
  </si>
  <si>
    <t>Tiffany Sullivan</t>
  </si>
  <si>
    <t>Karen Myers</t>
  </si>
  <si>
    <t>David Wright</t>
  </si>
  <si>
    <t>Jeremiah Cole</t>
  </si>
  <si>
    <t>Louis Turner</t>
  </si>
  <si>
    <t>Phillip Simpson</t>
  </si>
  <si>
    <t>Darren Brooks</t>
  </si>
  <si>
    <t>Matthew Cox</t>
  </si>
  <si>
    <t>Alexander Horton</t>
  </si>
  <si>
    <t>Zachary Frazier</t>
  </si>
  <si>
    <t>Tamara Thompson</t>
  </si>
  <si>
    <t>Heidi Alvarez</t>
  </si>
  <si>
    <t>Jeremy Wilson</t>
  </si>
  <si>
    <t>Jerry Holmes</t>
  </si>
  <si>
    <t>Kim Daniels</t>
  </si>
  <si>
    <t>Edward Black</t>
  </si>
  <si>
    <t>Nathan Summers</t>
  </si>
  <si>
    <t>Ryan Williams</t>
  </si>
  <si>
    <t>Veronica Fry</t>
  </si>
  <si>
    <t>Patrick Roach</t>
  </si>
  <si>
    <t>Karen Duke</t>
  </si>
  <si>
    <t>Michael Heath</t>
  </si>
  <si>
    <t>Benjamin Brown</t>
  </si>
  <si>
    <t>Melvin Bowers</t>
  </si>
  <si>
    <t>Robin Diaz</t>
  </si>
  <si>
    <t>Bailey Williamson</t>
  </si>
  <si>
    <t>George Singleton</t>
  </si>
  <si>
    <t>Joseph Church</t>
  </si>
  <si>
    <t>Ricky Velazquez</t>
  </si>
  <si>
    <t>Jeffrey Bates</t>
  </si>
  <si>
    <t>Lisa Ho</t>
  </si>
  <si>
    <t>Kelly Mcknight</t>
  </si>
  <si>
    <t>Jerry Lopez</t>
  </si>
  <si>
    <t>Carl Sanchez</t>
  </si>
  <si>
    <t>Christina Price</t>
  </si>
  <si>
    <t>Brandon Martin</t>
  </si>
  <si>
    <t>John Miller</t>
  </si>
  <si>
    <t>Ray Mcbride</t>
  </si>
  <si>
    <t>Natalie Turner</t>
  </si>
  <si>
    <t>Evan Price</t>
  </si>
  <si>
    <t>Brooke Ramos</t>
  </si>
  <si>
    <t>Aaron Clay</t>
  </si>
  <si>
    <t>Timothy Barker</t>
  </si>
  <si>
    <t>Angela Davis</t>
  </si>
  <si>
    <t>Danielle Meyer</t>
  </si>
  <si>
    <t>Robert Wade</t>
  </si>
  <si>
    <t>Phillip Shelton</t>
  </si>
  <si>
    <t>Brad Hill</t>
  </si>
  <si>
    <t>Emily Joseph</t>
  </si>
  <si>
    <t>Elizabeth Johnson</t>
  </si>
  <si>
    <t>Dr. Mary Day</t>
  </si>
  <si>
    <t>Michelle Payne</t>
  </si>
  <si>
    <t>Cassandra Bishop</t>
  </si>
  <si>
    <t>Cynthia Hensley</t>
  </si>
  <si>
    <t>David Robles</t>
  </si>
  <si>
    <t>Elizabeth Decker</t>
  </si>
  <si>
    <t>Brandi Hale</t>
  </si>
  <si>
    <t>Benjamin Jenkins</t>
  </si>
  <si>
    <t>Michael Bond</t>
  </si>
  <si>
    <t>Kimberly Conner</t>
  </si>
  <si>
    <t>Steven Holland</t>
  </si>
  <si>
    <t>Jason Hicks</t>
  </si>
  <si>
    <t>Stacey Garcia</t>
  </si>
  <si>
    <t>Maria Douglas</t>
  </si>
  <si>
    <t>Daniel Evans</t>
  </si>
  <si>
    <t>Nicole Evans</t>
  </si>
  <si>
    <t>Ashley Cuevas</t>
  </si>
  <si>
    <t>Edward Holland</t>
  </si>
  <si>
    <t>Joe Rodriguez</t>
  </si>
  <si>
    <t>Michael Gonzales</t>
  </si>
  <si>
    <t>Richard Torres</t>
  </si>
  <si>
    <t>Jeffrey Martinez</t>
  </si>
  <si>
    <t>Michael Ross</t>
  </si>
  <si>
    <t>Michael Bradley</t>
  </si>
  <si>
    <t>Carl Gomez</t>
  </si>
  <si>
    <t>Bryan Fritz</t>
  </si>
  <si>
    <t>Kelsey Hernandez</t>
  </si>
  <si>
    <t>Stephanie Caldwell MD</t>
  </si>
  <si>
    <t>Darrell Mendez</t>
  </si>
  <si>
    <t>Kenneth Fox</t>
  </si>
  <si>
    <t>Kimberly Sullivan</t>
  </si>
  <si>
    <t>Clayton Williamson</t>
  </si>
  <si>
    <t>Glen Diaz</t>
  </si>
  <si>
    <t>Ariel Davis</t>
  </si>
  <si>
    <t>Jason Gallagher</t>
  </si>
  <si>
    <t>Alejandro Lopez</t>
  </si>
  <si>
    <t>Brian Bowman</t>
  </si>
  <si>
    <t>Patricia Ramsey</t>
  </si>
  <si>
    <t>Jennifer Tanner</t>
  </si>
  <si>
    <t>Alexander Jones</t>
  </si>
  <si>
    <t>Mary Ward</t>
  </si>
  <si>
    <t>Travis Rodriguez</t>
  </si>
  <si>
    <t>Richard Wagner</t>
  </si>
  <si>
    <t>Tiffany Miller</t>
  </si>
  <si>
    <t>Melissa Bradley</t>
  </si>
  <si>
    <t>Alexander Williams</t>
  </si>
  <si>
    <t>Erin Chandler</t>
  </si>
  <si>
    <t>Christina Eaton</t>
  </si>
  <si>
    <t>Stephanie Kelley DVM</t>
  </si>
  <si>
    <t>Kendra Jones</t>
  </si>
  <si>
    <t>Karen Grimes</t>
  </si>
  <si>
    <t>Sean Bailey</t>
  </si>
  <si>
    <t>Erika Turner</t>
  </si>
  <si>
    <t>Roger Holmes</t>
  </si>
  <si>
    <t>Paula Stone</t>
  </si>
  <si>
    <t>Sarah Rivas</t>
  </si>
  <si>
    <t>Scott Vega</t>
  </si>
  <si>
    <t>Benjamin Lewis</t>
  </si>
  <si>
    <t>Taylor Hicks</t>
  </si>
  <si>
    <t>James Lopez</t>
  </si>
  <si>
    <t>Carla Cole</t>
  </si>
  <si>
    <t>Judy Blair</t>
  </si>
  <si>
    <t>Kevin Benton</t>
  </si>
  <si>
    <t>Shawn Tucker</t>
  </si>
  <si>
    <t>Melissa Schmidt</t>
  </si>
  <si>
    <t>Penny West</t>
  </si>
  <si>
    <t>Heather Ortiz</t>
  </si>
  <si>
    <t>David Mcdonald</t>
  </si>
  <si>
    <t>Donald Garcia</t>
  </si>
  <si>
    <t>Kayla Mccormick</t>
  </si>
  <si>
    <t>Robert Burton</t>
  </si>
  <si>
    <t>Monica Mcclure</t>
  </si>
  <si>
    <t>Martha Byrd</t>
  </si>
  <si>
    <t>Jamie Miller</t>
  </si>
  <si>
    <t>Gloria Perez</t>
  </si>
  <si>
    <t>Robert Edwards</t>
  </si>
  <si>
    <t>Ashley Gonzalez</t>
  </si>
  <si>
    <t>Bryan Meyers</t>
  </si>
  <si>
    <t>Michael Trevino</t>
  </si>
  <si>
    <t>Gary Ramos</t>
  </si>
  <si>
    <t>Gregory Riley</t>
  </si>
  <si>
    <t>Curtis Cooke</t>
  </si>
  <si>
    <t>John Hancock</t>
  </si>
  <si>
    <t>Peter Schaefer</t>
  </si>
  <si>
    <t>Carlos Spence</t>
  </si>
  <si>
    <t>Haley King</t>
  </si>
  <si>
    <t>Erin Carr</t>
  </si>
  <si>
    <t>Courtney Gonzales</t>
  </si>
  <si>
    <t>Kayla Norris</t>
  </si>
  <si>
    <t>James Malone</t>
  </si>
  <si>
    <t>Rhonda Oconnor</t>
  </si>
  <si>
    <t>Megan Russell</t>
  </si>
  <si>
    <t>Autumn Hill</t>
  </si>
  <si>
    <t>Timothy Osborne</t>
  </si>
  <si>
    <t>Christopher Ferguson</t>
  </si>
  <si>
    <t>Bradley Fuller</t>
  </si>
  <si>
    <t>John Yang</t>
  </si>
  <si>
    <t>Adam Shelton</t>
  </si>
  <si>
    <t>Mary Thompson</t>
  </si>
  <si>
    <t>Michael Short</t>
  </si>
  <si>
    <t>Charles Hess</t>
  </si>
  <si>
    <t>Daniel Vazquez</t>
  </si>
  <si>
    <t>Lisa Fry</t>
  </si>
  <si>
    <t>Alison Robinson</t>
  </si>
  <si>
    <t>Jose Thomas</t>
  </si>
  <si>
    <t>Jeremy Coleman</t>
  </si>
  <si>
    <t>David Riley</t>
  </si>
  <si>
    <t>Amy Pierce</t>
  </si>
  <si>
    <t>Ian Castillo</t>
  </si>
  <si>
    <t>Angel Kelly</t>
  </si>
  <si>
    <t>Stephanie Taylor</t>
  </si>
  <si>
    <t>Thomas Smith</t>
  </si>
  <si>
    <t>Kenneth Turner</t>
  </si>
  <si>
    <t>Christopher Massey</t>
  </si>
  <si>
    <t>William Moore</t>
  </si>
  <si>
    <t>Erin Small</t>
  </si>
  <si>
    <t>Jeff Lane</t>
  </si>
  <si>
    <t>Samuel Thomas</t>
  </si>
  <si>
    <t>Donna Johnson</t>
  </si>
  <si>
    <t>Darryl Murphy</t>
  </si>
  <si>
    <t>Christian Chapman</t>
  </si>
  <si>
    <t>Courtney Powell</t>
  </si>
  <si>
    <t>Kelly Hardin</t>
  </si>
  <si>
    <t>Justin White</t>
  </si>
  <si>
    <t>Jose Jackson</t>
  </si>
  <si>
    <t>Derek Smith</t>
  </si>
  <si>
    <t>Jeremy Burton</t>
  </si>
  <si>
    <t>Elizabeth Duke</t>
  </si>
  <si>
    <t>Michael Rogers</t>
  </si>
  <si>
    <t>Michelle Hill</t>
  </si>
  <si>
    <t>Rachel Sanchez</t>
  </si>
  <si>
    <t>Dennis Hurley</t>
  </si>
  <si>
    <t>Daniel Jacobson</t>
  </si>
  <si>
    <t>Melissa Lane</t>
  </si>
  <si>
    <t>Vanessa Pittman</t>
  </si>
  <si>
    <t>Christopher Singleton</t>
  </si>
  <si>
    <t>Brandy Graves</t>
  </si>
  <si>
    <t>Marissa Davidson</t>
  </si>
  <si>
    <t>Philip Davis</t>
  </si>
  <si>
    <t>Stephen Butler</t>
  </si>
  <si>
    <t>Shannon Martinez</t>
  </si>
  <si>
    <t>Tracey Beck</t>
  </si>
  <si>
    <t>Logan Cooper</t>
  </si>
  <si>
    <t>Kara Schneider</t>
  </si>
  <si>
    <t>Ivan Russo</t>
  </si>
  <si>
    <t>Ryan Kennedy</t>
  </si>
  <si>
    <t>Scott Shannon</t>
  </si>
  <si>
    <t>Diane Adams</t>
  </si>
  <si>
    <t>Andrew Carroll</t>
  </si>
  <si>
    <t>Sandra Wood</t>
  </si>
  <si>
    <t>Brian Armstrong</t>
  </si>
  <si>
    <t>Alexis Moody</t>
  </si>
  <si>
    <t>Jennifer Reyes</t>
  </si>
  <si>
    <t>Jill Mcconnell</t>
  </si>
  <si>
    <t>Jessica Miller</t>
  </si>
  <si>
    <t>Harry Wallace</t>
  </si>
  <si>
    <t>Nancy Hernandez</t>
  </si>
  <si>
    <t>Troy White</t>
  </si>
  <si>
    <t>Cindy Cox</t>
  </si>
  <si>
    <t>Brian White</t>
  </si>
  <si>
    <t>Rachel Howell</t>
  </si>
  <si>
    <t>Christine Vega</t>
  </si>
  <si>
    <t>Jordan Cole</t>
  </si>
  <si>
    <t>Mr. Phillip Baxter</t>
  </si>
  <si>
    <t>Tricia Hunt</t>
  </si>
  <si>
    <t>Thomas Banks</t>
  </si>
  <si>
    <t>George Stevens</t>
  </si>
  <si>
    <t>Sarah Fuller</t>
  </si>
  <si>
    <t>Cody Ortega</t>
  </si>
  <si>
    <t>Victor Simmons</t>
  </si>
  <si>
    <t>Christopher Nelson</t>
  </si>
  <si>
    <t>Jennifer Jackson</t>
  </si>
  <si>
    <t>Frank Harrell</t>
  </si>
  <si>
    <t>Troy Richards</t>
  </si>
  <si>
    <t>Thomas Baker</t>
  </si>
  <si>
    <t>Charles Green</t>
  </si>
  <si>
    <t>Lisa Hoffman</t>
  </si>
  <si>
    <t>Jennifer Williams</t>
  </si>
  <si>
    <t>Emily Barnes</t>
  </si>
  <si>
    <t>Richard Richardson</t>
  </si>
  <si>
    <t>Robin Hebert</t>
  </si>
  <si>
    <t>Leslie Newman</t>
  </si>
  <si>
    <t>Lindsey Mendoza</t>
  </si>
  <si>
    <t>Edward Thomas</t>
  </si>
  <si>
    <t>Teresa Medina</t>
  </si>
  <si>
    <t>Troy Torres</t>
  </si>
  <si>
    <t>Matthew Carney</t>
  </si>
  <si>
    <t>Pamela Johnson</t>
  </si>
  <si>
    <t>Crystal Garza</t>
  </si>
  <si>
    <t>Eugene Underwood</t>
  </si>
  <si>
    <t>Benjamin Williams</t>
  </si>
  <si>
    <t>William Villarreal</t>
  </si>
  <si>
    <t>Ronald Davis</t>
  </si>
  <si>
    <t>Amanda Schroeder</t>
  </si>
  <si>
    <t>Deanna Edwards</t>
  </si>
  <si>
    <t>Joshua Sanchez DDS</t>
  </si>
  <si>
    <t>George Flores</t>
  </si>
  <si>
    <t>Jennifer Wells</t>
  </si>
  <si>
    <t>David Cole</t>
  </si>
  <si>
    <t>Emma Martin</t>
  </si>
  <si>
    <t>Charles Mcmillan</t>
  </si>
  <si>
    <t>Dana Park</t>
  </si>
  <si>
    <t>Christopher Garrett</t>
  </si>
  <si>
    <t>Tamara Ramirez MD</t>
  </si>
  <si>
    <t>Emily Mcintosh</t>
  </si>
  <si>
    <t>Sharon Lopez</t>
  </si>
  <si>
    <t>Yolanda Richardson</t>
  </si>
  <si>
    <t>Sandra Wilson</t>
  </si>
  <si>
    <t>Cheryl Adams</t>
  </si>
  <si>
    <t>Meghan Evans</t>
  </si>
  <si>
    <t>Courtney Yang</t>
  </si>
  <si>
    <t>Sarah Wilson</t>
  </si>
  <si>
    <t>Courtney Foley</t>
  </si>
  <si>
    <t>Perry Crawford</t>
  </si>
  <si>
    <t>Marvin Hicks</t>
  </si>
  <si>
    <t>Matthew Cross</t>
  </si>
  <si>
    <t>Connie Wood</t>
  </si>
  <si>
    <t>Robert Mason</t>
  </si>
  <si>
    <t>Steven Mercer</t>
  </si>
  <si>
    <t>Rita Joyce</t>
  </si>
  <si>
    <t>Diana Neal</t>
  </si>
  <si>
    <t>Teresa Peters</t>
  </si>
  <si>
    <t>Tracey Johnson</t>
  </si>
  <si>
    <t>Brian Bolton</t>
  </si>
  <si>
    <t>Natalie Patrick</t>
  </si>
  <si>
    <t>Pamela Davis</t>
  </si>
  <si>
    <t>Antonio Galloway</t>
  </si>
  <si>
    <t>Kenneth Cox</t>
  </si>
  <si>
    <t>Brian Walker</t>
  </si>
  <si>
    <t>Eric Lawson</t>
  </si>
  <si>
    <t>Andrew Webb</t>
  </si>
  <si>
    <t>David Wilson</t>
  </si>
  <si>
    <t>Matthew Wilson</t>
  </si>
  <si>
    <t>Luke Brady</t>
  </si>
  <si>
    <t>Adam Hall</t>
  </si>
  <si>
    <t>David Rose</t>
  </si>
  <si>
    <t>Dana Ewing</t>
  </si>
  <si>
    <t>Donna Green</t>
  </si>
  <si>
    <t>Clifford Ramirez</t>
  </si>
  <si>
    <t>Timothy Fowler</t>
  </si>
  <si>
    <t>Donna Stephens</t>
  </si>
  <si>
    <t>Alexander Le</t>
  </si>
  <si>
    <t>Cynthia Booker</t>
  </si>
  <si>
    <t>Malik Robinson</t>
  </si>
  <si>
    <t>Amber Little</t>
  </si>
  <si>
    <t>Melissa Miranda</t>
  </si>
  <si>
    <t>Jennifer Jones</t>
  </si>
  <si>
    <t>Jamie Aguilar</t>
  </si>
  <si>
    <t>Michael Duke</t>
  </si>
  <si>
    <t>Christian Guerrero</t>
  </si>
  <si>
    <t>Jennifer Perez</t>
  </si>
  <si>
    <t>Tammy Williams</t>
  </si>
  <si>
    <t>Christopher Graham</t>
  </si>
  <si>
    <t>Paul Brock</t>
  </si>
  <si>
    <t>Kayla Savage</t>
  </si>
  <si>
    <t>Kelsey Kelly</t>
  </si>
  <si>
    <t>Denise Hall</t>
  </si>
  <si>
    <t>Scott Bishop</t>
  </si>
  <si>
    <t>Dylan Gibson</t>
  </si>
  <si>
    <t>Samantha Wallace</t>
  </si>
  <si>
    <t>Charles Jackson</t>
  </si>
  <si>
    <t>Jack Sutton</t>
  </si>
  <si>
    <t>Paul Giles</t>
  </si>
  <si>
    <t>Jonathan Drake</t>
  </si>
  <si>
    <t>Andrew Johnson</t>
  </si>
  <si>
    <t>Linda Ryan</t>
  </si>
  <si>
    <t>Sandra Johns</t>
  </si>
  <si>
    <t>Adam Lane</t>
  </si>
  <si>
    <t>Lynn Dorsey</t>
  </si>
  <si>
    <t>Jerry White</t>
  </si>
  <si>
    <t>Steven Scott</t>
  </si>
  <si>
    <t>Danielle Ortega</t>
  </si>
  <si>
    <t>Tiffany Lowery</t>
  </si>
  <si>
    <t>Gregory Hines</t>
  </si>
  <si>
    <t>Rebecca Goodwin</t>
  </si>
  <si>
    <t>Katie Mcdaniel</t>
  </si>
  <si>
    <t>Aaron Perkins</t>
  </si>
  <si>
    <t>Patricia Jackson</t>
  </si>
  <si>
    <t>Jennifer Martin</t>
  </si>
  <si>
    <t>61-75</t>
  </si>
  <si>
    <t>Melissa Berry MD</t>
  </si>
  <si>
    <t>Kathryn Hooper</t>
  </si>
  <si>
    <t>Miss Stacey Weaver</t>
  </si>
  <si>
    <t>Rachel Wilson</t>
  </si>
  <si>
    <t>Thomas Nash</t>
  </si>
  <si>
    <t>Justin Flores</t>
  </si>
  <si>
    <t>Mark Daniels</t>
  </si>
  <si>
    <t>Kimberly Pierce</t>
  </si>
  <si>
    <t>Allison Ramos</t>
  </si>
  <si>
    <t>Chase Ford</t>
  </si>
  <si>
    <t>Carol Williams</t>
  </si>
  <si>
    <t>Joshua Gomez</t>
  </si>
  <si>
    <t>Andrea Anderson</t>
  </si>
  <si>
    <t>Mary Burgess</t>
  </si>
  <si>
    <t>Miss Christine Lopez</t>
  </si>
  <si>
    <t>Cynthia Turner</t>
  </si>
  <si>
    <t>Holly Potter</t>
  </si>
  <si>
    <t>Christina Mitchell</t>
  </si>
  <si>
    <t>Erica Jimenez</t>
  </si>
  <si>
    <t>Bethany Mcpherson</t>
  </si>
  <si>
    <t>Bridget Cooley</t>
  </si>
  <si>
    <t>Ashley Edwards</t>
  </si>
  <si>
    <t>Stacy Clements</t>
  </si>
  <si>
    <t>Cynthia Dunn</t>
  </si>
  <si>
    <t>Deborah Wagner</t>
  </si>
  <si>
    <t>Cesar Sanchez</t>
  </si>
  <si>
    <t>Jordan Hudson</t>
  </si>
  <si>
    <t>Linda Martin</t>
  </si>
  <si>
    <t>Tammy Thomas</t>
  </si>
  <si>
    <t>Kurt Cain</t>
  </si>
  <si>
    <t>Jennifer Barber</t>
  </si>
  <si>
    <t>Christopher Smith</t>
  </si>
  <si>
    <t>Daniel Marshall</t>
  </si>
  <si>
    <t>Lisa Taylor</t>
  </si>
  <si>
    <t>Matthew Herrera</t>
  </si>
  <si>
    <t>Cody Murray</t>
  </si>
  <si>
    <t>Tracie Jefferson</t>
  </si>
  <si>
    <t>Margaret Robinson</t>
  </si>
  <si>
    <t>Tracy Perez</t>
  </si>
  <si>
    <t>Lauren Rosario</t>
  </si>
  <si>
    <t>Haley Mcintosh</t>
  </si>
  <si>
    <t>Amanda Boyd</t>
  </si>
  <si>
    <t>Jonathan Wood</t>
  </si>
  <si>
    <t>Jon Duarte</t>
  </si>
  <si>
    <t>Courtney Hunt</t>
  </si>
  <si>
    <t>Mrs. Kayla Peterson</t>
  </si>
  <si>
    <t>Mrs. Katherine Huber PhD</t>
  </si>
  <si>
    <t>Kathryn Young</t>
  </si>
  <si>
    <t>Brian Riley</t>
  </si>
  <si>
    <t>Charles Kemp</t>
  </si>
  <si>
    <t>Gregory Garcia</t>
  </si>
  <si>
    <t>Megan Jensen</t>
  </si>
  <si>
    <t>Megan Avery</t>
  </si>
  <si>
    <t>Michael Arroyo Jr.</t>
  </si>
  <si>
    <t>Brianna Morris</t>
  </si>
  <si>
    <t>Gregory West DDS</t>
  </si>
  <si>
    <t>Diana Schroeder</t>
  </si>
  <si>
    <t>Alexandra Lee</t>
  </si>
  <si>
    <t>Brian Clarke</t>
  </si>
  <si>
    <t>Amanda Hoffman</t>
  </si>
  <si>
    <t>Kelly Olsen</t>
  </si>
  <si>
    <t>Christopher Bryant</t>
  </si>
  <si>
    <t>Michael Levine</t>
  </si>
  <si>
    <t>Janet Ray</t>
  </si>
  <si>
    <t>Victoria Gomez</t>
  </si>
  <si>
    <t>Nicole Chandler</t>
  </si>
  <si>
    <t>Brian Davis</t>
  </si>
  <si>
    <t>Michelle Smith</t>
  </si>
  <si>
    <t>Jessica Pitts</t>
  </si>
  <si>
    <t>Miguel Hayes</t>
  </si>
  <si>
    <t>Robert Myers DDS</t>
  </si>
  <si>
    <t>Luis Smith</t>
  </si>
  <si>
    <t>Jessica Wilson</t>
  </si>
  <si>
    <t>Sharon Nash</t>
  </si>
  <si>
    <t>Tyler Trujillo</t>
  </si>
  <si>
    <t>Andrea Walsh</t>
  </si>
  <si>
    <t>Kathy Rhodes</t>
  </si>
  <si>
    <t>Rachel Bright</t>
  </si>
  <si>
    <t>James Price</t>
  </si>
  <si>
    <t>Jessica Garcia</t>
  </si>
  <si>
    <t>Oscar Luna</t>
  </si>
  <si>
    <t>John Stewart</t>
  </si>
  <si>
    <t>Brandon Carter</t>
  </si>
  <si>
    <t>James Aguilar</t>
  </si>
  <si>
    <t>Andre Crosby</t>
  </si>
  <si>
    <t>Douglas Smith</t>
  </si>
  <si>
    <t>Rebecca Gould</t>
  </si>
  <si>
    <t>Xavier Richardson</t>
  </si>
  <si>
    <t>Nancy Barry</t>
  </si>
  <si>
    <t>Katherine Espinoza</t>
  </si>
  <si>
    <t>Chris Wells</t>
  </si>
  <si>
    <t>Crystal Medina</t>
  </si>
  <si>
    <t>Gregory Arellano</t>
  </si>
  <si>
    <t>Natalie Smith</t>
  </si>
  <si>
    <t>Nathaniel White</t>
  </si>
  <si>
    <t>Andrew Clark</t>
  </si>
  <si>
    <t>Jason Tate</t>
  </si>
  <si>
    <t>Kimberly Young</t>
  </si>
  <si>
    <t>Kathleen Oneal</t>
  </si>
  <si>
    <t>Jacob Andrade</t>
  </si>
  <si>
    <t>Richard Jones</t>
  </si>
  <si>
    <t>Stephen Cooper</t>
  </si>
  <si>
    <t>Beth Murphy</t>
  </si>
  <si>
    <t>Adam Davis</t>
  </si>
  <si>
    <t>Teresa Kim</t>
  </si>
  <si>
    <t>Gregory Brown</t>
  </si>
  <si>
    <t>Craig Parsons</t>
  </si>
  <si>
    <t>Jose Price</t>
  </si>
  <si>
    <t>Michael Mack</t>
  </si>
  <si>
    <t>John Larsen II</t>
  </si>
  <si>
    <t>Virginia Flores</t>
  </si>
  <si>
    <t>Leonard Macias</t>
  </si>
  <si>
    <t>Jeffrey Hart</t>
  </si>
  <si>
    <t>Jacob Townsend</t>
  </si>
  <si>
    <t>Jennifer Stevens</t>
  </si>
  <si>
    <t>Joseph Park</t>
  </si>
  <si>
    <t>Glen Arroyo</t>
  </si>
  <si>
    <t>Christopher Schneider</t>
  </si>
  <si>
    <t>Jacqueline West</t>
  </si>
  <si>
    <t>Steven Walker</t>
  </si>
  <si>
    <t>Peter Pierce</t>
  </si>
  <si>
    <t>Deborah Snyder</t>
  </si>
  <si>
    <t>Stephanie Carr</t>
  </si>
  <si>
    <t>David Colon</t>
  </si>
  <si>
    <t>Jessica Ali</t>
  </si>
  <si>
    <t>Willie Rose</t>
  </si>
  <si>
    <t>Patricia Johnson DDS</t>
  </si>
  <si>
    <t>Ana Hunt</t>
  </si>
  <si>
    <t>Megan Strickland</t>
  </si>
  <si>
    <t>Brandon Lewis</t>
  </si>
  <si>
    <t>Christine Price</t>
  </si>
  <si>
    <t>Susan Brown</t>
  </si>
  <si>
    <t>Samuel Moore</t>
  </si>
  <si>
    <t>Heather Everett</t>
  </si>
  <si>
    <t>Megan Mitchell</t>
  </si>
  <si>
    <t>Desiree Giles</t>
  </si>
  <si>
    <t>Michael Walsh</t>
  </si>
  <si>
    <t>Tammy Watts</t>
  </si>
  <si>
    <t>Daniel Cole</t>
  </si>
  <si>
    <t>Dustin Jones</t>
  </si>
  <si>
    <t>Theresa Young</t>
  </si>
  <si>
    <t>Brenda Booth</t>
  </si>
  <si>
    <t>Megan Edwards</t>
  </si>
  <si>
    <t>Eric Arellano</t>
  </si>
  <si>
    <t>Joseph Hart</t>
  </si>
  <si>
    <t>Ralph Fernandez</t>
  </si>
  <si>
    <t>Jamie Nixon</t>
  </si>
  <si>
    <t>Scott Allen</t>
  </si>
  <si>
    <t>Cody Scott</t>
  </si>
  <si>
    <t>Larry Cohen</t>
  </si>
  <si>
    <t>Robin Donovan</t>
  </si>
  <si>
    <t>Brian Brown</t>
  </si>
  <si>
    <t>Jesse Wood</t>
  </si>
  <si>
    <t>Deborah Vasquez</t>
  </si>
  <si>
    <t>Maria Boyd</t>
  </si>
  <si>
    <t>Mike Miller</t>
  </si>
  <si>
    <t>Christopher Trujillo</t>
  </si>
  <si>
    <t>Keith Smith</t>
  </si>
  <si>
    <t>Darlene Hodge</t>
  </si>
  <si>
    <t>Amanda Cruz</t>
  </si>
  <si>
    <t>Ashlee Warren</t>
  </si>
  <si>
    <t>Cynthia Cruz</t>
  </si>
  <si>
    <t>Erin Williams</t>
  </si>
  <si>
    <t>Sean Hernandez</t>
  </si>
  <si>
    <t>Christopher Powell</t>
  </si>
  <si>
    <t>Gary Wood</t>
  </si>
  <si>
    <t>Kimberly Barnett</t>
  </si>
  <si>
    <t>William Bryan</t>
  </si>
  <si>
    <t>Joseph Rodriguez</t>
  </si>
  <si>
    <t>Douglas Foster</t>
  </si>
  <si>
    <t>Karen Walker</t>
  </si>
  <si>
    <t>Natalie White</t>
  </si>
  <si>
    <t>Chad Reed</t>
  </si>
  <si>
    <t>Jennifer Adams</t>
  </si>
  <si>
    <t>Chelsea Matthews</t>
  </si>
  <si>
    <t>Elizabeth Obrien</t>
  </si>
  <si>
    <t>Patricia King</t>
  </si>
  <si>
    <t>Danny Gray</t>
  </si>
  <si>
    <t>Patricia Carpenter</t>
  </si>
  <si>
    <t>Donna Jenkins</t>
  </si>
  <si>
    <t>Rachel Allen</t>
  </si>
  <si>
    <t>James Noble</t>
  </si>
  <si>
    <t>Dylan George</t>
  </si>
  <si>
    <t>Erica Robbins</t>
  </si>
  <si>
    <t>Matthew Carlson</t>
  </si>
  <si>
    <t>Alex Burns</t>
  </si>
  <si>
    <t>Raymond Bond</t>
  </si>
  <si>
    <t>Kenneth Dixon</t>
  </si>
  <si>
    <t>Sandra Sloan</t>
  </si>
  <si>
    <t>Shawn Castillo</t>
  </si>
  <si>
    <t>Jennifer Carroll</t>
  </si>
  <si>
    <t>Robert Garcia</t>
  </si>
  <si>
    <t>Eric Lewis</t>
  </si>
  <si>
    <t>Bryan Armstrong</t>
  </si>
  <si>
    <t>Robert Escobar</t>
  </si>
  <si>
    <t>Lisa Hill</t>
  </si>
  <si>
    <t>Mia Boyd</t>
  </si>
  <si>
    <t>David Mann</t>
  </si>
  <si>
    <t>Donald Ferguson</t>
  </si>
  <si>
    <t>Rebecca Hall</t>
  </si>
  <si>
    <t>Kevin Mendoza DVM</t>
  </si>
  <si>
    <t>Heather Baker</t>
  </si>
  <si>
    <t>Andrew Thomas</t>
  </si>
  <si>
    <t>Eric Allen</t>
  </si>
  <si>
    <t>Amanda Mclaughlin</t>
  </si>
  <si>
    <t>James Wise</t>
  </si>
  <si>
    <t>Karen Schmidt</t>
  </si>
  <si>
    <t>Edward Taylor</t>
  </si>
  <si>
    <t>Yvette Johnson</t>
  </si>
  <si>
    <t>Jenna Williams</t>
  </si>
  <si>
    <t>Ryan Mitchell</t>
  </si>
  <si>
    <t>Troy Marshall</t>
  </si>
  <si>
    <t>Benjamin Robinson</t>
  </si>
  <si>
    <t>Lydia Russell</t>
  </si>
  <si>
    <t>Matthew Clark</t>
  </si>
  <si>
    <t>Jacqueline Collins</t>
  </si>
  <si>
    <t>Paul Parker</t>
  </si>
  <si>
    <t>Joseph Mcmillan</t>
  </si>
  <si>
    <t>Frederick Nielsen</t>
  </si>
  <si>
    <t>Daniel White</t>
  </si>
  <si>
    <t>Chad Johnson</t>
  </si>
  <si>
    <t>Shawn Cordova</t>
  </si>
  <si>
    <t>Wendy Mcguire</t>
  </si>
  <si>
    <t>Andrew Cross</t>
  </si>
  <si>
    <t>Victor Warner</t>
  </si>
  <si>
    <t>Joseph Pace</t>
  </si>
  <si>
    <t>Lydia Baker</t>
  </si>
  <si>
    <t>Jack Cooper</t>
  </si>
  <si>
    <t>Andrew Oconnor</t>
  </si>
  <si>
    <t>Christina Hill</t>
  </si>
  <si>
    <t>Kathleen Porter</t>
  </si>
  <si>
    <t>Christine Calhoun</t>
  </si>
  <si>
    <t>Nathaniel Wood</t>
  </si>
  <si>
    <t>Alec Hill</t>
  </si>
  <si>
    <t>Jessica Johnson</t>
  </si>
  <si>
    <t>Kevin Weaver</t>
  </si>
  <si>
    <t>Jason Larson</t>
  </si>
  <si>
    <t>Helen Davis</t>
  </si>
  <si>
    <t>Robert Lewis</t>
  </si>
  <si>
    <t>Samantha Cameron</t>
  </si>
  <si>
    <t>Lindsey Sullivan MD</t>
  </si>
  <si>
    <t>David Barnett</t>
  </si>
  <si>
    <t>Manuel Becker</t>
  </si>
  <si>
    <t>Jacob Patel</t>
  </si>
  <si>
    <t>Jerry Jones</t>
  </si>
  <si>
    <t>Ashley Gomez</t>
  </si>
  <si>
    <t>Jaclyn Knight</t>
  </si>
  <si>
    <t>John Oliver</t>
  </si>
  <si>
    <t>Cheryl Ruiz</t>
  </si>
  <si>
    <t>Maria Thomas</t>
  </si>
  <si>
    <t>David Chapman</t>
  </si>
  <si>
    <t>Rachel Wells</t>
  </si>
  <si>
    <t>Nicole Hoffman</t>
  </si>
  <si>
    <t>Robert Mitchell</t>
  </si>
  <si>
    <t>Scott Graves</t>
  </si>
  <si>
    <t>Marie Clark</t>
  </si>
  <si>
    <t>Janet Lewis</t>
  </si>
  <si>
    <t>Gregory Neal</t>
  </si>
  <si>
    <t>Kelly Mason</t>
  </si>
  <si>
    <t>Laura Edwards</t>
  </si>
  <si>
    <t>Rachel Simmons</t>
  </si>
  <si>
    <t>Robert Sanchez</t>
  </si>
  <si>
    <t>Brian Garrett</t>
  </si>
  <si>
    <t>Tamara Williams</t>
  </si>
  <si>
    <t>Darlene Clark</t>
  </si>
  <si>
    <t>Thomas Williams</t>
  </si>
  <si>
    <t>Sandra Hill</t>
  </si>
  <si>
    <t>Julie May</t>
  </si>
  <si>
    <t>Christopher Beard</t>
  </si>
  <si>
    <t>Jerry Torres</t>
  </si>
  <si>
    <t>Henry Carlson</t>
  </si>
  <si>
    <t>Michael Evans</t>
  </si>
  <si>
    <t>Manuel Vargas</t>
  </si>
  <si>
    <t>Mr. Paul Chavez</t>
  </si>
  <si>
    <t>Evan Marquez</t>
  </si>
  <si>
    <t>Hunter Miller</t>
  </si>
  <si>
    <t>Kathy Lawson</t>
  </si>
  <si>
    <t>Michael Allen</t>
  </si>
  <si>
    <t>Brian Osborne DVM</t>
  </si>
  <si>
    <t>Andrea Mcbride</t>
  </si>
  <si>
    <t>Laura Newman</t>
  </si>
  <si>
    <t>Logan Sampson</t>
  </si>
  <si>
    <t>Tiffany Melendez</t>
  </si>
  <si>
    <t>Debra Short</t>
  </si>
  <si>
    <t>Karla Baker</t>
  </si>
  <si>
    <t>Cassandra Cain</t>
  </si>
  <si>
    <t>Jessica Williams</t>
  </si>
  <si>
    <t>Misty Wells</t>
  </si>
  <si>
    <t>Debra Booker</t>
  </si>
  <si>
    <t>Christina Macdonald</t>
  </si>
  <si>
    <t>Samuel Ramirez</t>
  </si>
  <si>
    <t>Jeremiah Cruz</t>
  </si>
  <si>
    <t>Matthew Pratt</t>
  </si>
  <si>
    <t>Shawn Juarez</t>
  </si>
  <si>
    <t>Patrick Morrison</t>
  </si>
  <si>
    <t>Mandy Smith</t>
  </si>
  <si>
    <t>Brian Olson</t>
  </si>
  <si>
    <t>Christina Moore</t>
  </si>
  <si>
    <t>Joshua Martin</t>
  </si>
  <si>
    <t>Victoria Gilbert</t>
  </si>
  <si>
    <t>April Spears</t>
  </si>
  <si>
    <t>Brandy Estes MD</t>
  </si>
  <si>
    <t>Andrea Lam</t>
  </si>
  <si>
    <t>Thomas Roman</t>
  </si>
  <si>
    <t>Robert Bass</t>
  </si>
  <si>
    <t>Vanessa Jones</t>
  </si>
  <si>
    <t>Courtney Knight</t>
  </si>
  <si>
    <t>Adam Sanders</t>
  </si>
  <si>
    <t>Patrick Floyd</t>
  </si>
  <si>
    <t>Daniel Rivera</t>
  </si>
  <si>
    <t>Morgan Green</t>
  </si>
  <si>
    <t>Max Martinez</t>
  </si>
  <si>
    <t>Joshua Sellers</t>
  </si>
  <si>
    <t>Rachel Nguyen</t>
  </si>
  <si>
    <t>John Wolf</t>
  </si>
  <si>
    <t>Thomas Crawford</t>
  </si>
  <si>
    <t>Ashley Shaw</t>
  </si>
  <si>
    <t>Jennifer Sims</t>
  </si>
  <si>
    <t>Janet Coffey</t>
  </si>
  <si>
    <t>Michael Sullivan</t>
  </si>
  <si>
    <t>Angela Thomas</t>
  </si>
  <si>
    <t>Linda Murphy</t>
  </si>
  <si>
    <t>Margaret Montoya</t>
  </si>
  <si>
    <t>Kayla Williams</t>
  </si>
  <si>
    <t>Aaron Cooper</t>
  </si>
  <si>
    <t>Bradley Myers</t>
  </si>
  <si>
    <t>Mark Barrett</t>
  </si>
  <si>
    <t>Gary Simpson</t>
  </si>
  <si>
    <t>Veronica Chen</t>
  </si>
  <si>
    <t>Nicole Warren</t>
  </si>
  <si>
    <t>Kimberly Beck</t>
  </si>
  <si>
    <t>Matthew Moore</t>
  </si>
  <si>
    <t>Erica Riley</t>
  </si>
  <si>
    <t>John Walsh</t>
  </si>
  <si>
    <t>Wanda Cox</t>
  </si>
  <si>
    <t>Leon Anderson</t>
  </si>
  <si>
    <t>Mary Chandler</t>
  </si>
  <si>
    <t>Kara Stewart</t>
  </si>
  <si>
    <t>Becky Sanchez</t>
  </si>
  <si>
    <t>Jonathan Howell</t>
  </si>
  <si>
    <t>Darryl Case</t>
  </si>
  <si>
    <t>Lawrence Rios</t>
  </si>
  <si>
    <t>Christopher Lee</t>
  </si>
  <si>
    <t>Jamie Wright</t>
  </si>
  <si>
    <t>Lori Hall</t>
  </si>
  <si>
    <t>Gabriela Pope</t>
  </si>
  <si>
    <t>Melissa Brown</t>
  </si>
  <si>
    <t>Jennifer Reese</t>
  </si>
  <si>
    <t>Jake Robinson</t>
  </si>
  <si>
    <t>Nathan Quinn</t>
  </si>
  <si>
    <t>Patrick Perez</t>
  </si>
  <si>
    <t>Jesse Edwards</t>
  </si>
  <si>
    <t>Scott Walker</t>
  </si>
  <si>
    <t>Brianna Hernandez</t>
  </si>
  <si>
    <t>Chris Rice</t>
  </si>
  <si>
    <t>Amy Olson</t>
  </si>
  <si>
    <t>Amanda Jones</t>
  </si>
  <si>
    <t>Christopher Morris</t>
  </si>
  <si>
    <t>Carol Foster</t>
  </si>
  <si>
    <t>Bryan Mann</t>
  </si>
  <si>
    <t>Robert Torres</t>
  </si>
  <si>
    <t>Kyle Phillips</t>
  </si>
  <si>
    <t>Robert Rodriguez</t>
  </si>
  <si>
    <t>Stephanie Douglas</t>
  </si>
  <si>
    <t>Zachary Cross</t>
  </si>
  <si>
    <t>Toni Rodriguez</t>
  </si>
  <si>
    <t>Trevor Taylor</t>
  </si>
  <si>
    <t>William Schneider</t>
  </si>
  <si>
    <t>Sarah Davis</t>
  </si>
  <si>
    <t>Rebecca Thompson</t>
  </si>
  <si>
    <t>Michael Garcia</t>
  </si>
  <si>
    <t>Barbara Mack</t>
  </si>
  <si>
    <t>Richard Griffin</t>
  </si>
  <si>
    <t>Tina Gonzalez</t>
  </si>
  <si>
    <t>Justin Zimmerman</t>
  </si>
  <si>
    <t>Christina Spencer</t>
  </si>
  <si>
    <t>Mark Kelley</t>
  </si>
  <si>
    <t>46-60</t>
  </si>
  <si>
    <t>Matthew Valdez</t>
  </si>
  <si>
    <t>Rachel Terry</t>
  </si>
  <si>
    <t>Cassandra Collins</t>
  </si>
  <si>
    <t>Mark Lutz</t>
  </si>
  <si>
    <t>John Anderson</t>
  </si>
  <si>
    <t>Paul Blackburn</t>
  </si>
  <si>
    <t>Dr. Peggy Mendoza</t>
  </si>
  <si>
    <t>Ashley Flowers</t>
  </si>
  <si>
    <t>Michael Glenn</t>
  </si>
  <si>
    <t>Robert Martinez</t>
  </si>
  <si>
    <t>Allison Mcgrath</t>
  </si>
  <si>
    <t>Morgan Mccoy</t>
  </si>
  <si>
    <t>James Fox</t>
  </si>
  <si>
    <t>Victoria Osborne</t>
  </si>
  <si>
    <t>Andre Pitts</t>
  </si>
  <si>
    <t>Donna Sandoval</t>
  </si>
  <si>
    <t>Justin Ortiz</t>
  </si>
  <si>
    <t>Russell Myers</t>
  </si>
  <si>
    <t>Donald Reed</t>
  </si>
  <si>
    <t>Danny Webster</t>
  </si>
  <si>
    <t>Aaron Young</t>
  </si>
  <si>
    <t>Wendy Cochran</t>
  </si>
  <si>
    <t>Ms. Kristen Johnson</t>
  </si>
  <si>
    <t>Susan Griffin</t>
  </si>
  <si>
    <t>Sonya Wheeler</t>
  </si>
  <si>
    <t>Adam Carlson</t>
  </si>
  <si>
    <t>Crystal Oneal</t>
  </si>
  <si>
    <t>Harold Gray</t>
  </si>
  <si>
    <t>Jeffrey Warren</t>
  </si>
  <si>
    <t>Mrs. Michelle Reed</t>
  </si>
  <si>
    <t>Anthony Medina</t>
  </si>
  <si>
    <t>Richard Walker</t>
  </si>
  <si>
    <t>Kara White</t>
  </si>
  <si>
    <t>Kyle Dawson</t>
  </si>
  <si>
    <t>Ellen Fitzpatrick</t>
  </si>
  <si>
    <t>Grant Parker</t>
  </si>
  <si>
    <t>Kevin Thompson</t>
  </si>
  <si>
    <t>Lynn Cruz</t>
  </si>
  <si>
    <t>Henry Snyder</t>
  </si>
  <si>
    <t>Theresa Simon</t>
  </si>
  <si>
    <t>Anna Rowe</t>
  </si>
  <si>
    <t>Judith Preston</t>
  </si>
  <si>
    <t>Melissa Wagner</t>
  </si>
  <si>
    <t>Megan Garcia</t>
  </si>
  <si>
    <t>Rebecca Parrish</t>
  </si>
  <si>
    <t>Jordan Shelton</t>
  </si>
  <si>
    <t>Michael Marquez</t>
  </si>
  <si>
    <t>Mr. Curtis Ortiz</t>
  </si>
  <si>
    <t>Jenny Martin</t>
  </si>
  <si>
    <t>Andrew Terry</t>
  </si>
  <si>
    <t>Lance Hobbs</t>
  </si>
  <si>
    <t>Mr. James Brown</t>
  </si>
  <si>
    <t>Jennifer Shaffer</t>
  </si>
  <si>
    <t>Brittany Watson</t>
  </si>
  <si>
    <t>Breanna Lewis</t>
  </si>
  <si>
    <t>Jerry Tucker</t>
  </si>
  <si>
    <t>Kimberly Miller</t>
  </si>
  <si>
    <t>Anna Jennings</t>
  </si>
  <si>
    <t>Christine Barron</t>
  </si>
  <si>
    <t>Thomas Clark MD</t>
  </si>
  <si>
    <t>Heather Jackson</t>
  </si>
  <si>
    <t>Todd Silva</t>
  </si>
  <si>
    <t>Adam Torres</t>
  </si>
  <si>
    <t>Daniel Le</t>
  </si>
  <si>
    <t>Martha Zavala</t>
  </si>
  <si>
    <t>Penny Freeman</t>
  </si>
  <si>
    <t>David Young</t>
  </si>
  <si>
    <t>Amy Williams</t>
  </si>
  <si>
    <t>Matthew Lloyd</t>
  </si>
  <si>
    <t>Timothy Morgan</t>
  </si>
  <si>
    <t>Sheila Thomas</t>
  </si>
  <si>
    <t>Catherine Gamble</t>
  </si>
  <si>
    <t>Vanessa Graves</t>
  </si>
  <si>
    <t>Leslie Smith</t>
  </si>
  <si>
    <t>Steven Giles</t>
  </si>
  <si>
    <t>Kevin Vaughan</t>
  </si>
  <si>
    <t>Steven Morgan</t>
  </si>
  <si>
    <t>Donna Adkins</t>
  </si>
  <si>
    <t>Meghan Sanchez</t>
  </si>
  <si>
    <t>Judith Watson</t>
  </si>
  <si>
    <t>Tiffany Cooper</t>
  </si>
  <si>
    <t>Katrina Jones</t>
  </si>
  <si>
    <t>Taylor Patterson</t>
  </si>
  <si>
    <t>Ellen Miller</t>
  </si>
  <si>
    <t>Kyle Gibbs</t>
  </si>
  <si>
    <t>Christopher Guzman</t>
  </si>
  <si>
    <t>Raymond Williams</t>
  </si>
  <si>
    <t>James Brooks</t>
  </si>
  <si>
    <t>Justin Caldwell</t>
  </si>
  <si>
    <t>Ronnie Miller</t>
  </si>
  <si>
    <t>Anthony Cortez</t>
  </si>
  <si>
    <t>Derrick Cook</t>
  </si>
  <si>
    <t>Joshua Sanford</t>
  </si>
  <si>
    <t>Tara Montoya</t>
  </si>
  <si>
    <t>Shane Fowler</t>
  </si>
  <si>
    <t>Kimberly Douglas</t>
  </si>
  <si>
    <t>April Braun</t>
  </si>
  <si>
    <t>Jacob Mendoza</t>
  </si>
  <si>
    <t>James Perry</t>
  </si>
  <si>
    <t>Leonard Campbell</t>
  </si>
  <si>
    <t>John Gallagher</t>
  </si>
  <si>
    <t>Kara Austin</t>
  </si>
  <si>
    <t>Rebecca Carey DDS</t>
  </si>
  <si>
    <t>David Carter</t>
  </si>
  <si>
    <t>Katherine Olson</t>
  </si>
  <si>
    <t>Larry Roberts</t>
  </si>
  <si>
    <t>Jeff Lynch</t>
  </si>
  <si>
    <t>Joseph Gibbs</t>
  </si>
  <si>
    <t>Shannon Vargas</t>
  </si>
  <si>
    <t>Brian Caldwell</t>
  </si>
  <si>
    <t>Benjamin Ramirez</t>
  </si>
  <si>
    <t>Wesley Johnson</t>
  </si>
  <si>
    <t>Matthew Buckley</t>
  </si>
  <si>
    <t>Ryan Collins</t>
  </si>
  <si>
    <t>Todd Wilson</t>
  </si>
  <si>
    <t>Rebecca Harrington</t>
  </si>
  <si>
    <t>Amanda Fuller</t>
  </si>
  <si>
    <t>Anthony Cruz</t>
  </si>
  <si>
    <t>Timothy Matthews</t>
  </si>
  <si>
    <t>Brandy Sutton</t>
  </si>
  <si>
    <t>Michelle Harris</t>
  </si>
  <si>
    <t>Matthew Garrett</t>
  </si>
  <si>
    <t>Daniel Barajas</t>
  </si>
  <si>
    <t>Joshua Burnett</t>
  </si>
  <si>
    <t>Mackenzie Walker</t>
  </si>
  <si>
    <t>Jenny Wright</t>
  </si>
  <si>
    <t>Theresa Sanchez</t>
  </si>
  <si>
    <t>Amber Sullivan</t>
  </si>
  <si>
    <t>Kevin Jackson</t>
  </si>
  <si>
    <t>David Love</t>
  </si>
  <si>
    <t>Charles Foley</t>
  </si>
  <si>
    <t>Richard Arias</t>
  </si>
  <si>
    <t>Stephen Cox</t>
  </si>
  <si>
    <t>Joseph King</t>
  </si>
  <si>
    <t>Timothy Ramirez</t>
  </si>
  <si>
    <t>Tiffany Shepherd</t>
  </si>
  <si>
    <t>Leonard Clark</t>
  </si>
  <si>
    <t>Robert Foster</t>
  </si>
  <si>
    <t>Jackie Lane</t>
  </si>
  <si>
    <t>Jackie Harper</t>
  </si>
  <si>
    <t>Kim Morris</t>
  </si>
  <si>
    <t>Michael Morris</t>
  </si>
  <si>
    <t>Kelsey Shaffer</t>
  </si>
  <si>
    <t>Christina Simmons</t>
  </si>
  <si>
    <t>Jennifer Long</t>
  </si>
  <si>
    <t>Thomas Hernandez</t>
  </si>
  <si>
    <t>Sheri Kline</t>
  </si>
  <si>
    <t>Jennifer Russell</t>
  </si>
  <si>
    <t>Autumn Griffin</t>
  </si>
  <si>
    <t>Isabel Harris</t>
  </si>
  <si>
    <t>Shawn Moore</t>
  </si>
  <si>
    <t>Rebecca Ward</t>
  </si>
  <si>
    <t>Natalie Miller</t>
  </si>
  <si>
    <t>Derrick Glass</t>
  </si>
  <si>
    <t>Emily Miller</t>
  </si>
  <si>
    <t>Nicole Bates</t>
  </si>
  <si>
    <t>Michael Espinoza</t>
  </si>
  <si>
    <t>Amber King</t>
  </si>
  <si>
    <t>Nicole Green</t>
  </si>
  <si>
    <t>Charles Owens</t>
  </si>
  <si>
    <t>Kelly Hodge</t>
  </si>
  <si>
    <t>Terry Jones</t>
  </si>
  <si>
    <t>Nicole Garcia</t>
  </si>
  <si>
    <t>Guy Vaughn</t>
  </si>
  <si>
    <t>Audrey Irwin</t>
  </si>
  <si>
    <t>Michael Murphy</t>
  </si>
  <si>
    <t>Joel Marshall</t>
  </si>
  <si>
    <t>Victoria Garcia</t>
  </si>
  <si>
    <t>Dustin Willis</t>
  </si>
  <si>
    <t>Jamie Hill</t>
  </si>
  <si>
    <t>Robert Guerrero</t>
  </si>
  <si>
    <t>Shane Brown</t>
  </si>
  <si>
    <t>Edward Perry</t>
  </si>
  <si>
    <t>James Miller</t>
  </si>
  <si>
    <t>Kayla Drake</t>
  </si>
  <si>
    <t>Jennifer Long DDS</t>
  </si>
  <si>
    <t>David Kramer</t>
  </si>
  <si>
    <t>Anne Watkins</t>
  </si>
  <si>
    <t>Brandon Baker</t>
  </si>
  <si>
    <t>Alison Walters</t>
  </si>
  <si>
    <t>Caroline Reed</t>
  </si>
  <si>
    <t>Eric Kelly</t>
  </si>
  <si>
    <t>Charles Cruz</t>
  </si>
  <si>
    <t>Jessica Sawyer</t>
  </si>
  <si>
    <t>Andres Mills</t>
  </si>
  <si>
    <t>Paul Weaver</t>
  </si>
  <si>
    <t>Susan Bautista</t>
  </si>
  <si>
    <t>Michael Schmidt</t>
  </si>
  <si>
    <t>Matthew Davis</t>
  </si>
  <si>
    <t>Megan Lopez</t>
  </si>
  <si>
    <t>Anthony Martin</t>
  </si>
  <si>
    <t>Alex Richards</t>
  </si>
  <si>
    <t>Samantha Garner</t>
  </si>
  <si>
    <t>Jacob Hobbs</t>
  </si>
  <si>
    <t>Mary Garcia</t>
  </si>
  <si>
    <t>Brianna Ortega</t>
  </si>
  <si>
    <t>Dalton Rodriguez</t>
  </si>
  <si>
    <t>Erica Sanchez</t>
  </si>
  <si>
    <t>Christy Nunez</t>
  </si>
  <si>
    <t>Theresa Parker</t>
  </si>
  <si>
    <t>Darin Caldwell</t>
  </si>
  <si>
    <t>Danielle Pacheco</t>
  </si>
  <si>
    <t>Abigail Townsend</t>
  </si>
  <si>
    <t>Allison Salazar</t>
  </si>
  <si>
    <t>Michelle King</t>
  </si>
  <si>
    <t>Anthony Hughes</t>
  </si>
  <si>
    <t>Ashley Estes</t>
  </si>
  <si>
    <t>Stephanie Mercer</t>
  </si>
  <si>
    <t>James Jimenez</t>
  </si>
  <si>
    <t>Ryan Marsh</t>
  </si>
  <si>
    <t>Zachary Jones</t>
  </si>
  <si>
    <t>Alexander Lee</t>
  </si>
  <si>
    <t>Mason Morgan</t>
  </si>
  <si>
    <t>James Cobb</t>
  </si>
  <si>
    <t>Kristine Logan</t>
  </si>
  <si>
    <t>Regina Cox</t>
  </si>
  <si>
    <t>Daniel Willis</t>
  </si>
  <si>
    <t>Megan Austin</t>
  </si>
  <si>
    <t>Kelly Ayers</t>
  </si>
  <si>
    <t>Justin Taylor</t>
  </si>
  <si>
    <t>Steven Henderson</t>
  </si>
  <si>
    <t>Nicole Martinez</t>
  </si>
  <si>
    <t>Robert Williams</t>
  </si>
  <si>
    <t>Jessica Chandler</t>
  </si>
  <si>
    <t>Ryan Rodriguez</t>
  </si>
  <si>
    <t>Eric Kennedy</t>
  </si>
  <si>
    <t>Eddie Tate</t>
  </si>
  <si>
    <t>Paul Johnson</t>
  </si>
  <si>
    <t>Abigail Warner</t>
  </si>
  <si>
    <t>Heather Stokes</t>
  </si>
  <si>
    <t>Corey Smith</t>
  </si>
  <si>
    <t>Luke Williams</t>
  </si>
  <si>
    <t>Vanessa Allen</t>
  </si>
  <si>
    <t>Amy Chavez</t>
  </si>
  <si>
    <t>Louis Thomas</t>
  </si>
  <si>
    <t>Michelle Carter</t>
  </si>
  <si>
    <t>Shawn Moon</t>
  </si>
  <si>
    <t>Sheila Williams</t>
  </si>
  <si>
    <t>Patrick Ewing</t>
  </si>
  <si>
    <t>Alexander Jackson</t>
  </si>
  <si>
    <t>Roger Hatfield</t>
  </si>
  <si>
    <t>Victoria Lopez</t>
  </si>
  <si>
    <t>Steven Wallace</t>
  </si>
  <si>
    <t>Katherine Martin</t>
  </si>
  <si>
    <t>William Wilson</t>
  </si>
  <si>
    <t>Jacob Bernard</t>
  </si>
  <si>
    <t>Nathan Murphy</t>
  </si>
  <si>
    <t>Kerry Rowe</t>
  </si>
  <si>
    <t>Sonia Moss</t>
  </si>
  <si>
    <t>Joy Armstrong</t>
  </si>
  <si>
    <t>Ashley Rodriguez</t>
  </si>
  <si>
    <t>Russell Zimmerman</t>
  </si>
  <si>
    <t>Duane Mitchell</t>
  </si>
  <si>
    <t>Helen Jackson</t>
  </si>
  <si>
    <t>Christopher Miller</t>
  </si>
  <si>
    <t>Christine Arnold</t>
  </si>
  <si>
    <t>Haley Taylor</t>
  </si>
  <si>
    <t>Christopher Wolfe</t>
  </si>
  <si>
    <t>Denise Anderson</t>
  </si>
  <si>
    <t>Timothy Beasley</t>
  </si>
  <si>
    <t>Amy Baird</t>
  </si>
  <si>
    <t>Diana Jones</t>
  </si>
  <si>
    <t>Angela Smith</t>
  </si>
  <si>
    <t>Nicholas Jones</t>
  </si>
  <si>
    <t>Dr. Christina Dunn</t>
  </si>
  <si>
    <t>Madeline Sharp</t>
  </si>
  <si>
    <t>Megan Williams</t>
  </si>
  <si>
    <t>Melissa Khan</t>
  </si>
  <si>
    <t>Melanie Gibson</t>
  </si>
  <si>
    <t>Alison Stanton</t>
  </si>
  <si>
    <t>Luis Rodriguez</t>
  </si>
  <si>
    <t>Samantha Bass MD</t>
  </si>
  <si>
    <t>Stephanie Cisneros</t>
  </si>
  <si>
    <t>Rachel Richards</t>
  </si>
  <si>
    <t>Ashley Daniels</t>
  </si>
  <si>
    <t>Robert Davies</t>
  </si>
  <si>
    <t>Abigail Holt</t>
  </si>
  <si>
    <t>Jacob Mays</t>
  </si>
  <si>
    <t>Katherine Rogers</t>
  </si>
  <si>
    <t>Morgan Edwards</t>
  </si>
  <si>
    <t>Kristin Terry</t>
  </si>
  <si>
    <t>Michael Brown</t>
  </si>
  <si>
    <t>Deanna Manning</t>
  </si>
  <si>
    <t>Austin Stout</t>
  </si>
  <si>
    <t>Lori Henderson</t>
  </si>
  <si>
    <t>Terri Stewart</t>
  </si>
  <si>
    <t>Erin Bates</t>
  </si>
  <si>
    <t>Chelsea Harris</t>
  </si>
  <si>
    <t>Kathleen Jones</t>
  </si>
  <si>
    <t>Diana Baker</t>
  </si>
  <si>
    <t>Cheryl Michael</t>
  </si>
  <si>
    <t>Thomas Bennett</t>
  </si>
  <si>
    <t>Paul Hinton</t>
  </si>
  <si>
    <t>Lindsey Fitzpatrick</t>
  </si>
  <si>
    <t>Jeffrey Solis</t>
  </si>
  <si>
    <t>William Nichols</t>
  </si>
  <si>
    <t>Amy King</t>
  </si>
  <si>
    <t>Peter Wells</t>
  </si>
  <si>
    <t>Jose Bryant</t>
  </si>
  <si>
    <t>Ryan Lopez</t>
  </si>
  <si>
    <t>Laura Chan</t>
  </si>
  <si>
    <t>Reginald Miller</t>
  </si>
  <si>
    <t>Christopher Brown</t>
  </si>
  <si>
    <t>Henry Moore</t>
  </si>
  <si>
    <t>Louis Craig</t>
  </si>
  <si>
    <t>Rachel Wood</t>
  </si>
  <si>
    <t>Corey King</t>
  </si>
  <si>
    <t>Nicholas Vasquez</t>
  </si>
  <si>
    <t>Jennifer Anderson</t>
  </si>
  <si>
    <t>Kenneth Jenkins</t>
  </si>
  <si>
    <t>Tanya Eaton</t>
  </si>
  <si>
    <t>Scott Thompson</t>
  </si>
  <si>
    <t>Erika Richards</t>
  </si>
  <si>
    <t>Tiffany Burke</t>
  </si>
  <si>
    <t>Charles Lopez</t>
  </si>
  <si>
    <t>Dr. Lindsey Arias DDS</t>
  </si>
  <si>
    <t>Colton Williams</t>
  </si>
  <si>
    <t>William Sparks</t>
  </si>
  <si>
    <t>Jeffrey Ashley Jr.</t>
  </si>
  <si>
    <t>Anne Jones DVM</t>
  </si>
  <si>
    <t>Linda French</t>
  </si>
  <si>
    <t>Michele Green</t>
  </si>
  <si>
    <t>Jeremiah Perez</t>
  </si>
  <si>
    <t>Michael Black</t>
  </si>
  <si>
    <t>Sherri Barry</t>
  </si>
  <si>
    <t>Janet Schultz</t>
  </si>
  <si>
    <t>Cheryl Smith</t>
  </si>
  <si>
    <t>Sarah Harper DDS</t>
  </si>
  <si>
    <t>Steven Wilson</t>
  </si>
  <si>
    <t>Hannah Herrera</t>
  </si>
  <si>
    <t>Mary Manning</t>
  </si>
  <si>
    <t>William Harris</t>
  </si>
  <si>
    <t>Dawn Bryant</t>
  </si>
  <si>
    <t>Charles Nguyen</t>
  </si>
  <si>
    <t>Nicholas Mcdaniel</t>
  </si>
  <si>
    <t>Daniel Smith</t>
  </si>
  <si>
    <t>Anthony Mcpherson</t>
  </si>
  <si>
    <t>Karen Parsons</t>
  </si>
  <si>
    <t>Carolyn Jacobson</t>
  </si>
  <si>
    <t>Katrina Johnston</t>
  </si>
  <si>
    <t>Alyssa Lucas</t>
  </si>
  <si>
    <t>Daniel Ryan</t>
  </si>
  <si>
    <t>Jennifer Davis</t>
  </si>
  <si>
    <t>Michael Bryant</t>
  </si>
  <si>
    <t>David Thompson</t>
  </si>
  <si>
    <t>Derek Velazquez</t>
  </si>
  <si>
    <t>Victoria Young</t>
  </si>
  <si>
    <t>Lauren Whitaker</t>
  </si>
  <si>
    <t>Kimberly Diaz</t>
  </si>
  <si>
    <t>David Guzman</t>
  </si>
  <si>
    <t>Diana Collins</t>
  </si>
  <si>
    <t>Glenn Bond</t>
  </si>
  <si>
    <t>Michele Park</t>
  </si>
  <si>
    <t>Robert Sparks</t>
  </si>
  <si>
    <t>Deanna Abbott</t>
  </si>
  <si>
    <t>Damon Hayes</t>
  </si>
  <si>
    <t>Andrea Murray</t>
  </si>
  <si>
    <t>Alexa Martin</t>
  </si>
  <si>
    <t>Zachary Lewis</t>
  </si>
  <si>
    <t>Gary Washington</t>
  </si>
  <si>
    <t>Wendy Andrews</t>
  </si>
  <si>
    <t>Kimberly Wilcox</t>
  </si>
  <si>
    <t>Jason Kennedy</t>
  </si>
  <si>
    <t>Robert Fowler</t>
  </si>
  <si>
    <t>Barbara Johnston</t>
  </si>
  <si>
    <t>April Hood</t>
  </si>
  <si>
    <t>Ronnie Roach</t>
  </si>
  <si>
    <t>Jason Houston</t>
  </si>
  <si>
    <t>Terrence Long</t>
  </si>
  <si>
    <t>Natalie Rodriguez</t>
  </si>
  <si>
    <t>Melissa Vaughn</t>
  </si>
  <si>
    <t>Vickie Johnson</t>
  </si>
  <si>
    <t>31-45</t>
  </si>
  <si>
    <t>Tina Gallagher</t>
  </si>
  <si>
    <t>Tiffany Gates MD</t>
  </si>
  <si>
    <t>Daniel Valenzuela</t>
  </si>
  <si>
    <t>Karen Brewer</t>
  </si>
  <si>
    <t>Michelle Mcclain</t>
  </si>
  <si>
    <t>Mrs. Amy Miller</t>
  </si>
  <si>
    <t>Ashley Wright</t>
  </si>
  <si>
    <t>Kristen Lopez</t>
  </si>
  <si>
    <t>Michael Newman MD</t>
  </si>
  <si>
    <t>Ronald Santos</t>
  </si>
  <si>
    <t>Susan Winters</t>
  </si>
  <si>
    <t>Christopher Simpson</t>
  </si>
  <si>
    <t>Travis Allen MD</t>
  </si>
  <si>
    <t>Karen White</t>
  </si>
  <si>
    <t>John Gonzalez</t>
  </si>
  <si>
    <t>Richard Medina</t>
  </si>
  <si>
    <t>Suzanne Jenkins</t>
  </si>
  <si>
    <t>Maureen Jacobson</t>
  </si>
  <si>
    <t>Katherine Wilson</t>
  </si>
  <si>
    <t>Mitchell Sims</t>
  </si>
  <si>
    <t>Dakota Kelly</t>
  </si>
  <si>
    <t>Andre Jones</t>
  </si>
  <si>
    <t>Cameron Lopez</t>
  </si>
  <si>
    <t>Christopher Williams</t>
  </si>
  <si>
    <t>Brenda Ward</t>
  </si>
  <si>
    <t>Tonya Smith</t>
  </si>
  <si>
    <t>Amy Wood</t>
  </si>
  <si>
    <t>John Shannon</t>
  </si>
  <si>
    <t>Sarah Taylor</t>
  </si>
  <si>
    <t>Christopher Sexton</t>
  </si>
  <si>
    <t>Lauren Gardner</t>
  </si>
  <si>
    <t>Alison Castro</t>
  </si>
  <si>
    <t>Alexander Rios</t>
  </si>
  <si>
    <t>Bryan Parker</t>
  </si>
  <si>
    <t>Ronald Taylor</t>
  </si>
  <si>
    <t>Vanessa Jackson</t>
  </si>
  <si>
    <t>Amy Cruz</t>
  </si>
  <si>
    <t>Tony Burke</t>
  </si>
  <si>
    <t>Pamela Bradshaw</t>
  </si>
  <si>
    <t>Donald Mitchell</t>
  </si>
  <si>
    <t>Lindsay Shaw</t>
  </si>
  <si>
    <t>Julia Mcmillan</t>
  </si>
  <si>
    <t>Rebecca Franklin</t>
  </si>
  <si>
    <t>Daniel Love</t>
  </si>
  <si>
    <t>Cheryl Rogers</t>
  </si>
  <si>
    <t>Victoria Hansen</t>
  </si>
  <si>
    <t>Cassandra Gardner</t>
  </si>
  <si>
    <t>Gregory Kirk</t>
  </si>
  <si>
    <t>Dwayne Clarke</t>
  </si>
  <si>
    <t>Andrew Meadows</t>
  </si>
  <si>
    <t>Jared Parrish</t>
  </si>
  <si>
    <t>Wendy Herrera</t>
  </si>
  <si>
    <t>Sandra Russo</t>
  </si>
  <si>
    <t>Michael Alexander</t>
  </si>
  <si>
    <t>Mary Foster</t>
  </si>
  <si>
    <t>Terry Welch</t>
  </si>
  <si>
    <t>Elaine Williams</t>
  </si>
  <si>
    <t>Daniel Carlson</t>
  </si>
  <si>
    <t>Kelly Hess</t>
  </si>
  <si>
    <t>Seth Benson</t>
  </si>
  <si>
    <t>Regina Giles</t>
  </si>
  <si>
    <t>Kimberly Foster</t>
  </si>
  <si>
    <t>Brandi Osborn</t>
  </si>
  <si>
    <t>Daisy Rodriguez</t>
  </si>
  <si>
    <t>William Bentley</t>
  </si>
  <si>
    <t>Jacob Mckay</t>
  </si>
  <si>
    <t>Janet Gordon</t>
  </si>
  <si>
    <t>Michelle Johnson</t>
  </si>
  <si>
    <t>Alexander Hammond</t>
  </si>
  <si>
    <t>Tara Moore</t>
  </si>
  <si>
    <t>Gabriel Yang</t>
  </si>
  <si>
    <t>Justin Thomas</t>
  </si>
  <si>
    <t>Mrs. Jennifer Ingram</t>
  </si>
  <si>
    <t>Katrina Williams MD</t>
  </si>
  <si>
    <t>Tara Garrison</t>
  </si>
  <si>
    <t>Stacy Hartman</t>
  </si>
  <si>
    <t>Dana Mcclure</t>
  </si>
  <si>
    <t>Mark Norton</t>
  </si>
  <si>
    <t>James Carey</t>
  </si>
  <si>
    <t>James Berger</t>
  </si>
  <si>
    <t>Pamela Brown</t>
  </si>
  <si>
    <t>Melinda Duncan</t>
  </si>
  <si>
    <t>Tina Lewis</t>
  </si>
  <si>
    <t>Derrick Salazar</t>
  </si>
  <si>
    <t>Donna Clark</t>
  </si>
  <si>
    <t>Joanne Adams</t>
  </si>
  <si>
    <t>Jamie Peck</t>
  </si>
  <si>
    <t>Lisa Garcia</t>
  </si>
  <si>
    <t>Rachel Russo</t>
  </si>
  <si>
    <t>Christine Wilson</t>
  </si>
  <si>
    <t>Kelly Morris</t>
  </si>
  <si>
    <t>Matthew Mccann</t>
  </si>
  <si>
    <t>Randy Austin</t>
  </si>
  <si>
    <t>Dr. Deborah Fitzgerald</t>
  </si>
  <si>
    <t>Jacqueline Peters</t>
  </si>
  <si>
    <t>Adam Jensen</t>
  </si>
  <si>
    <t>Lisa Smith</t>
  </si>
  <si>
    <t>Daniel Beck</t>
  </si>
  <si>
    <t>Lori Dean</t>
  </si>
  <si>
    <t>Theresa Williams</t>
  </si>
  <si>
    <t>Jonathan Fernandez</t>
  </si>
  <si>
    <t>Luis Nolan</t>
  </si>
  <si>
    <t>Robert Brown</t>
  </si>
  <si>
    <t>Jamie Sosa</t>
  </si>
  <si>
    <t>Alicia Scott</t>
  </si>
  <si>
    <t>William Cochran</t>
  </si>
  <si>
    <t>Tony Gibbs</t>
  </si>
  <si>
    <t>Brandon Morris</t>
  </si>
  <si>
    <t>Courtney Everett</t>
  </si>
  <si>
    <t>Ryan Chavez</t>
  </si>
  <si>
    <t>Victoria Perry</t>
  </si>
  <si>
    <t>Heather Garcia</t>
  </si>
  <si>
    <t>Susan Delgado</t>
  </si>
  <si>
    <t>Paula Mann</t>
  </si>
  <si>
    <t>Ashley Peterson</t>
  </si>
  <si>
    <t>Kyle Mcintyre</t>
  </si>
  <si>
    <t>Ian Bush</t>
  </si>
  <si>
    <t>Steven Welch</t>
  </si>
  <si>
    <t>Kathy Banks</t>
  </si>
  <si>
    <t>Anna Yoder</t>
  </si>
  <si>
    <t>Christopher Lopez</t>
  </si>
  <si>
    <t>Caleb Kennedy</t>
  </si>
  <si>
    <t>Richard Woodard</t>
  </si>
  <si>
    <t>Whitney Hoffman</t>
  </si>
  <si>
    <t>Olivia Lambert</t>
  </si>
  <si>
    <t>Melanie Blanchard</t>
  </si>
  <si>
    <t>Russell Taylor</t>
  </si>
  <si>
    <t>Breanna Gray</t>
  </si>
  <si>
    <t>Daniel Ballard</t>
  </si>
  <si>
    <t>Willie Williams</t>
  </si>
  <si>
    <t>Craig Hunt</t>
  </si>
  <si>
    <t>Cynthia Brown</t>
  </si>
  <si>
    <t>Dustin Perry</t>
  </si>
  <si>
    <t>Adam Moore</t>
  </si>
  <si>
    <t>Jared Butler</t>
  </si>
  <si>
    <t>Jason Morales</t>
  </si>
  <si>
    <t>Daniel Long</t>
  </si>
  <si>
    <t>Jean Lawson DDS</t>
  </si>
  <si>
    <t>Cynthia Jones</t>
  </si>
  <si>
    <t>Eugene Little</t>
  </si>
  <si>
    <t>Darren Alvarado</t>
  </si>
  <si>
    <t>Spencer Booth</t>
  </si>
  <si>
    <t>Daniel Garrett</t>
  </si>
  <si>
    <t>Francisco Steele</t>
  </si>
  <si>
    <t>Mckenzie Mccarty</t>
  </si>
  <si>
    <t>Larry Smith</t>
  </si>
  <si>
    <t>Javier Hawkins</t>
  </si>
  <si>
    <t>Debra Fields</t>
  </si>
  <si>
    <t>Christian Thomas</t>
  </si>
  <si>
    <t>Gregory Tapia</t>
  </si>
  <si>
    <t>Kristin Combs</t>
  </si>
  <si>
    <t>Frank Anderson</t>
  </si>
  <si>
    <t>Anthony Jensen</t>
  </si>
  <si>
    <t>Elizabeth Bryant</t>
  </si>
  <si>
    <t>Rebecca Kim</t>
  </si>
  <si>
    <t>Lisa Cameron</t>
  </si>
  <si>
    <t>Karen Hunt</t>
  </si>
  <si>
    <t>Cynthia Wells</t>
  </si>
  <si>
    <t>Ashlee Romero</t>
  </si>
  <si>
    <t>Anthony Mitchell</t>
  </si>
  <si>
    <t>Theresa Osborne</t>
  </si>
  <si>
    <t>Sherri Guzman</t>
  </si>
  <si>
    <t>Carlos Morton</t>
  </si>
  <si>
    <t>Brittany Wall</t>
  </si>
  <si>
    <t>Willie Dean</t>
  </si>
  <si>
    <t>Jose Bauer</t>
  </si>
  <si>
    <t>Reginald Barrett</t>
  </si>
  <si>
    <t>Dominic Bell</t>
  </si>
  <si>
    <t>April Castillo</t>
  </si>
  <si>
    <t>Jessica Castillo</t>
  </si>
  <si>
    <t>Bryan Newton</t>
  </si>
  <si>
    <t>Steven Gonzalez</t>
  </si>
  <si>
    <t>Jonathan Daniels</t>
  </si>
  <si>
    <t>Samantha Hoffman</t>
  </si>
  <si>
    <t>Julie Smith</t>
  </si>
  <si>
    <t>Dr. Karen Miller DDS</t>
  </si>
  <si>
    <t>Martin Herring</t>
  </si>
  <si>
    <t>Andrea Hubbard</t>
  </si>
  <si>
    <t>Andrea Gates</t>
  </si>
  <si>
    <t>Joseph Banks</t>
  </si>
  <si>
    <t>Susan Kelley</t>
  </si>
  <si>
    <t>Erin Baker</t>
  </si>
  <si>
    <t>Carla King</t>
  </si>
  <si>
    <t>Danielle Barrett</t>
  </si>
  <si>
    <t>Gregory Griffin</t>
  </si>
  <si>
    <t>Cynthia Richard</t>
  </si>
  <si>
    <t>Scott King</t>
  </si>
  <si>
    <t>Mary Moon</t>
  </si>
  <si>
    <t>Ernest Rodriguez</t>
  </si>
  <si>
    <t>Shawn Mendoza</t>
  </si>
  <si>
    <t>Erin Walton</t>
  </si>
  <si>
    <t>Deborah Robinson</t>
  </si>
  <si>
    <t>Joseph Bell</t>
  </si>
  <si>
    <t>Michael Davis</t>
  </si>
  <si>
    <t>Karen Griffin</t>
  </si>
  <si>
    <t>Jeffrey Johnston</t>
  </si>
  <si>
    <t>Cynthia Baker</t>
  </si>
  <si>
    <t>Donna West</t>
  </si>
  <si>
    <t>Troy Hill</t>
  </si>
  <si>
    <t>Kim Allen</t>
  </si>
  <si>
    <t>Nancy Levine MD</t>
  </si>
  <si>
    <t>Bonnie Boone</t>
  </si>
  <si>
    <t>Lorraine Figueroa</t>
  </si>
  <si>
    <t>Jamie Mcclure</t>
  </si>
  <si>
    <t>Katherine Sanders</t>
  </si>
  <si>
    <t>John Hensley</t>
  </si>
  <si>
    <t>Paul Tate</t>
  </si>
  <si>
    <t>Dr. Michele Copeland</t>
  </si>
  <si>
    <t>Debra Castillo</t>
  </si>
  <si>
    <t>Jodi Floyd</t>
  </si>
  <si>
    <t>Brett Arnold</t>
  </si>
  <si>
    <t>Kimberly Meyer</t>
  </si>
  <si>
    <t>Christopher Perez</t>
  </si>
  <si>
    <t>Tammy Yates</t>
  </si>
  <si>
    <t>Nancy Luna</t>
  </si>
  <si>
    <t>Ricardo White</t>
  </si>
  <si>
    <t>Tanya Barker</t>
  </si>
  <si>
    <t>Michael Watkins</t>
  </si>
  <si>
    <t>Brian Deleon</t>
  </si>
  <si>
    <t>Ellen Stevens</t>
  </si>
  <si>
    <t>Charles Wells</t>
  </si>
  <si>
    <t>Alexander Vega</t>
  </si>
  <si>
    <t>Karen Gomez</t>
  </si>
  <si>
    <t>Melissa Allen</t>
  </si>
  <si>
    <t>Rodney Lopez</t>
  </si>
  <si>
    <t>Tracy Mcdonald</t>
  </si>
  <si>
    <t>Daniel Gutierrez</t>
  </si>
  <si>
    <t>Kari Jackson</t>
  </si>
  <si>
    <t>Jeremiah Rose</t>
  </si>
  <si>
    <t>Chelsey Moore</t>
  </si>
  <si>
    <t>Randy Garrett</t>
  </si>
  <si>
    <t>Kenneth Graham</t>
  </si>
  <si>
    <t>Wayne Graham</t>
  </si>
  <si>
    <t>Angela Watkins</t>
  </si>
  <si>
    <t>Kyle Russell</t>
  </si>
  <si>
    <t>Alex Webster</t>
  </si>
  <si>
    <t>Lorraine Schroeder</t>
  </si>
  <si>
    <t>Brad West</t>
  </si>
  <si>
    <t>Samuel Stone</t>
  </si>
  <si>
    <t>Erica Thompson</t>
  </si>
  <si>
    <t>Jill Kelley</t>
  </si>
  <si>
    <t>Melissa Ramirez</t>
  </si>
  <si>
    <t>Amber Clayton</t>
  </si>
  <si>
    <t>Sabrina Wade</t>
  </si>
  <si>
    <t>Randy Vargas</t>
  </si>
  <si>
    <t>Kimberly Morrison</t>
  </si>
  <si>
    <t>Brian Young</t>
  </si>
  <si>
    <t>Desiree Wilkins</t>
  </si>
  <si>
    <t>Jamie Ford</t>
  </si>
  <si>
    <t>Shelly Chavez</t>
  </si>
  <si>
    <t>Megan Morales</t>
  </si>
  <si>
    <t>Alex Rowe</t>
  </si>
  <si>
    <t>Derek Doyle</t>
  </si>
  <si>
    <t>Briana Guerrero</t>
  </si>
  <si>
    <t>Molly Warner</t>
  </si>
  <si>
    <t>Debra Ford</t>
  </si>
  <si>
    <t>Allison Smith</t>
  </si>
  <si>
    <t>Dr. John Hernandez</t>
  </si>
  <si>
    <t>Michelle Austin</t>
  </si>
  <si>
    <t>Andrea Mendez</t>
  </si>
  <si>
    <t>Joshua Reed</t>
  </si>
  <si>
    <t>Melissa Richmond</t>
  </si>
  <si>
    <t>Jasmin Holmes</t>
  </si>
  <si>
    <t>Zachary Williams</t>
  </si>
  <si>
    <t>Selena Brown</t>
  </si>
  <si>
    <t>Jenny Black</t>
  </si>
  <si>
    <t>Jamie Nunez</t>
  </si>
  <si>
    <t>Brent Thompson</t>
  </si>
  <si>
    <t>Pamela Cunningham</t>
  </si>
  <si>
    <t>Dennis Jacobs</t>
  </si>
  <si>
    <t>Katherine Long</t>
  </si>
  <si>
    <t>John Marsh</t>
  </si>
  <si>
    <t>Michael Wright</t>
  </si>
  <si>
    <t>Vincent Brown</t>
  </si>
  <si>
    <t>Brianna Garcia</t>
  </si>
  <si>
    <t>Stacy Cunningham</t>
  </si>
  <si>
    <t>Laura Klein</t>
  </si>
  <si>
    <t>Benjamin Hughes</t>
  </si>
  <si>
    <t>Nicholas Mcneil</t>
  </si>
  <si>
    <t>Katelyn Byrd</t>
  </si>
  <si>
    <t>Barbara Chavez</t>
  </si>
  <si>
    <t>William Lewis</t>
  </si>
  <si>
    <t>Michael White</t>
  </si>
  <si>
    <t>Seth Ramirez</t>
  </si>
  <si>
    <t>Trevor Anderson</t>
  </si>
  <si>
    <t>Kenneth Johnson</t>
  </si>
  <si>
    <t>Anthony Nash</t>
  </si>
  <si>
    <t>Brianna Shea</t>
  </si>
  <si>
    <t>Ashley Cunningham</t>
  </si>
  <si>
    <t>Sarah Montgomery</t>
  </si>
  <si>
    <t>Ashley Foster</t>
  </si>
  <si>
    <t>Melinda Cannon</t>
  </si>
  <si>
    <t>Daniel Green</t>
  </si>
  <si>
    <t>William Hatfield</t>
  </si>
  <si>
    <t>Ryan Miller</t>
  </si>
  <si>
    <t>Alexa Peterson</t>
  </si>
  <si>
    <t>Matthew Rivera</t>
  </si>
  <si>
    <t>Theodore Bean</t>
  </si>
  <si>
    <t>Tim Flowers</t>
  </si>
  <si>
    <t>Kimberly Henson</t>
  </si>
  <si>
    <t>Anne Jacobs</t>
  </si>
  <si>
    <t>Lauren Clark</t>
  </si>
  <si>
    <t>Brittany Thompson</t>
  </si>
  <si>
    <t>Wendy Davis</t>
  </si>
  <si>
    <t>Jessica Price</t>
  </si>
  <si>
    <t>Justin Rice</t>
  </si>
  <si>
    <t>Alexandra Sandoval</t>
  </si>
  <si>
    <t>Rachel Moore</t>
  </si>
  <si>
    <t>Ellen Rogers</t>
  </si>
  <si>
    <t>Tammie Melendez</t>
  </si>
  <si>
    <t>Alejandra Turner</t>
  </si>
  <si>
    <t>Bradley Jones</t>
  </si>
  <si>
    <t>Michelle Bradford</t>
  </si>
  <si>
    <t>Melanie Lee</t>
  </si>
  <si>
    <t>Andrea Kennedy</t>
  </si>
  <si>
    <t>18-30</t>
  </si>
  <si>
    <t>Samantha Mosley</t>
  </si>
  <si>
    <t>Thomas Thomas</t>
  </si>
  <si>
    <t>Nicole West</t>
  </si>
  <si>
    <t>Marissa Jacobs</t>
  </si>
  <si>
    <t>Jeffery Smith</t>
  </si>
  <si>
    <t>Steve Ramirez</t>
  </si>
  <si>
    <t>Michelle Jones</t>
  </si>
  <si>
    <t>Michelle Edwards</t>
  </si>
  <si>
    <t>Charles Harvey</t>
  </si>
  <si>
    <t>Julia Mckenzie</t>
  </si>
  <si>
    <t>Sarah Scott</t>
  </si>
  <si>
    <t>Mark Reeves</t>
  </si>
  <si>
    <t>Mark Hill</t>
  </si>
  <si>
    <t>Ronald Gonzalez</t>
  </si>
  <si>
    <t>Crystal Mueller</t>
  </si>
  <si>
    <t>Jacqueline Howell</t>
  </si>
  <si>
    <t>Felicia Smith</t>
  </si>
  <si>
    <t>Tracy Smith</t>
  </si>
  <si>
    <t>Amber Baxter</t>
  </si>
  <si>
    <t>Toni Morris DDS</t>
  </si>
  <si>
    <t>Robin Medina</t>
  </si>
  <si>
    <t>Marissa Randall</t>
  </si>
  <si>
    <t>Kent Cannon</t>
  </si>
  <si>
    <t>Lydia Davis</t>
  </si>
  <si>
    <t>Brian Rodriguez</t>
  </si>
  <si>
    <t>Frank Fields</t>
  </si>
  <si>
    <t>Heather Diaz</t>
  </si>
  <si>
    <t>April Rios</t>
  </si>
  <si>
    <t>Megan Mccann</t>
  </si>
  <si>
    <t>Carly Dixon</t>
  </si>
  <si>
    <t>Gary Murray</t>
  </si>
  <si>
    <t>Loretta Richardson</t>
  </si>
  <si>
    <t>Shane Jackson</t>
  </si>
  <si>
    <t>Joseph Irwin</t>
  </si>
  <si>
    <t>Jacob Kerr</t>
  </si>
  <si>
    <t>Judy Nguyen</t>
  </si>
  <si>
    <t>Michelle Ortega</t>
  </si>
  <si>
    <t>Kelsey Johnson</t>
  </si>
  <si>
    <t>Mallory Torres</t>
  </si>
  <si>
    <t>Kyle Jones</t>
  </si>
  <si>
    <t>Cheryl Mullins</t>
  </si>
  <si>
    <t>Cheryl Calderon</t>
  </si>
  <si>
    <t>Michael Adams</t>
  </si>
  <si>
    <t>Alison Wolfe</t>
  </si>
  <si>
    <t>Michelle Thomas</t>
  </si>
  <si>
    <t>Heidi Sosa</t>
  </si>
  <si>
    <t>Nancy Wilson</t>
  </si>
  <si>
    <t>Richard Alexander</t>
  </si>
  <si>
    <t>Monica Torres</t>
  </si>
  <si>
    <t>Oscar Hunt</t>
  </si>
  <si>
    <t>Michael Mason</t>
  </si>
  <si>
    <t>Donna Stone</t>
  </si>
  <si>
    <t>Daniel Bender</t>
  </si>
  <si>
    <t>Michael Hamilton</t>
  </si>
  <si>
    <t>Angie Smith</t>
  </si>
  <si>
    <t>Rachel Porter</t>
  </si>
  <si>
    <t>Patrick Russell</t>
  </si>
  <si>
    <t>Barbara Dalton</t>
  </si>
  <si>
    <t>Rachel Holloway</t>
  </si>
  <si>
    <t>Connie Wheeler</t>
  </si>
  <si>
    <t>Sherri Buckley</t>
  </si>
  <si>
    <t>Natalie Marquez</t>
  </si>
  <si>
    <t>Jennifer Paul</t>
  </si>
  <si>
    <t>Timothy Walter</t>
  </si>
  <si>
    <t>Miss Julie Rodriguez</t>
  </si>
  <si>
    <t>Jared Green</t>
  </si>
  <si>
    <t>Brenda Castro</t>
  </si>
  <si>
    <t>Erika Davis</t>
  </si>
  <si>
    <t>Allison Parker</t>
  </si>
  <si>
    <t>Victor Anderson MD</t>
  </si>
  <si>
    <t>Dr. William Terry</t>
  </si>
  <si>
    <t>Paul Perez</t>
  </si>
  <si>
    <t>Nancy Young</t>
  </si>
  <si>
    <t>William Conley</t>
  </si>
  <si>
    <t>Thomas Wallace</t>
  </si>
  <si>
    <t>Terry Dennis</t>
  </si>
  <si>
    <t>Kelsey Scott</t>
  </si>
  <si>
    <t>Nicole Shepard</t>
  </si>
  <si>
    <t>Mr. Ricky Le</t>
  </si>
  <si>
    <t>Adam Mcdonald</t>
  </si>
  <si>
    <t>David Schmidt</t>
  </si>
  <si>
    <t>Bill Brown</t>
  </si>
  <si>
    <t>Vanessa Wright</t>
  </si>
  <si>
    <t>Virginia Sharp</t>
  </si>
  <si>
    <t>Lindsey Green</t>
  </si>
  <si>
    <t>James Fleming</t>
  </si>
  <si>
    <t>Lindsay Harris</t>
  </si>
  <si>
    <t>Ryan Hughes</t>
  </si>
  <si>
    <t>Andrew Baker</t>
  </si>
  <si>
    <t>Michael Gillespie</t>
  </si>
  <si>
    <t>Amanda Martinez</t>
  </si>
  <si>
    <t>Gary Bowman</t>
  </si>
  <si>
    <t>Brandon Sanders</t>
  </si>
  <si>
    <t>Amy Dunlap</t>
  </si>
  <si>
    <t>Daniel Braun</t>
  </si>
  <si>
    <t>Tonya Kennedy</t>
  </si>
  <si>
    <t>Christine Lane</t>
  </si>
  <si>
    <t>Kimberly Long</t>
  </si>
  <si>
    <t>Rachel Carlson</t>
  </si>
  <si>
    <t>Paul Martinez</t>
  </si>
  <si>
    <t>Brandy Navarro</t>
  </si>
  <si>
    <t>Matthew Nichols</t>
  </si>
  <si>
    <t>Anthony Boyd</t>
  </si>
  <si>
    <t>Bradley Gibson</t>
  </si>
  <si>
    <t>Randy Wright</t>
  </si>
  <si>
    <t>Jennifer Banks</t>
  </si>
  <si>
    <t>Corey Turner</t>
  </si>
  <si>
    <t>Heidi Baker</t>
  </si>
  <si>
    <t>Tiffany Stone</t>
  </si>
  <si>
    <t>Henry Kelley</t>
  </si>
  <si>
    <t>Mary Wilson</t>
  </si>
  <si>
    <t>Misty Higgins</t>
  </si>
  <si>
    <t>Alejandro Romero</t>
  </si>
  <si>
    <t>Karen Hancock</t>
  </si>
  <si>
    <t>Jon Berry</t>
  </si>
  <si>
    <t>Heather Foster</t>
  </si>
  <si>
    <t>Leslie Silva</t>
  </si>
  <si>
    <t>Thomas Brandt</t>
  </si>
  <si>
    <t>Regina Wilson</t>
  </si>
  <si>
    <t>Jenny Zuniga</t>
  </si>
  <si>
    <t>Amy Mayer</t>
  </si>
  <si>
    <t>Jim Patterson</t>
  </si>
  <si>
    <t>Kimberly Robinson</t>
  </si>
  <si>
    <t>Jared Lester</t>
  </si>
  <si>
    <t>David Espinoza</t>
  </si>
  <si>
    <t>Steven Richards</t>
  </si>
  <si>
    <t>Zachary Hamilton</t>
  </si>
  <si>
    <t>Glenn Wall</t>
  </si>
  <si>
    <t>Sarah Peterson</t>
  </si>
  <si>
    <t>Edward Russell</t>
  </si>
  <si>
    <t>Connor Brown</t>
  </si>
  <si>
    <t>Savannah Butler</t>
  </si>
  <si>
    <t>James Nguyen</t>
  </si>
  <si>
    <t>Christopher Johnson</t>
  </si>
  <si>
    <t>Susan Stanton</t>
  </si>
  <si>
    <t>Amanda Stevenson</t>
  </si>
  <si>
    <t>Tyler Cunningham</t>
  </si>
  <si>
    <t>Kelli Page</t>
  </si>
  <si>
    <t>Stephanie Wall</t>
  </si>
  <si>
    <t>Miss Crystal Davis DDS</t>
  </si>
  <si>
    <t>Christopher Hayes</t>
  </si>
  <si>
    <t>Sandra Murphy</t>
  </si>
  <si>
    <t>Shelby Brown</t>
  </si>
  <si>
    <t>Laura Lopez</t>
  </si>
  <si>
    <t>Julie Phillips</t>
  </si>
  <si>
    <t>Bradley Leach</t>
  </si>
  <si>
    <t>Amanda Flores</t>
  </si>
  <si>
    <t>Mr. Brian Anderson</t>
  </si>
  <si>
    <t>Adrienne Roberts</t>
  </si>
  <si>
    <t>Tina Cook</t>
  </si>
  <si>
    <t>Paul Allen</t>
  </si>
  <si>
    <t>David Jones</t>
  </si>
  <si>
    <t>Dakota Fleming</t>
  </si>
  <si>
    <t>Monique Daniels</t>
  </si>
  <si>
    <t>Alexander Brown</t>
  </si>
  <si>
    <t>Taylor Farley</t>
  </si>
  <si>
    <t>Christy Lewis</t>
  </si>
  <si>
    <t>Sarah Thompson</t>
  </si>
  <si>
    <t>Ruth Shaw</t>
  </si>
  <si>
    <t>Nicole Adams</t>
  </si>
  <si>
    <t>Krystal Krueger</t>
  </si>
  <si>
    <t>Jessica Maldonado DDS</t>
  </si>
  <si>
    <t>Kelly Thomas</t>
  </si>
  <si>
    <t>Sarah Hernandez</t>
  </si>
  <si>
    <t>Jeremy Mclaughlin</t>
  </si>
  <si>
    <t>Jacob Price</t>
  </si>
  <si>
    <t>Kimberly Rangel</t>
  </si>
  <si>
    <t>Sheila Barrett</t>
  </si>
  <si>
    <t>John Wallace</t>
  </si>
  <si>
    <t>Dave Summers</t>
  </si>
  <si>
    <t>Traci Hopkins</t>
  </si>
  <si>
    <t>James Gibbs</t>
  </si>
  <si>
    <t>Lisa Norris</t>
  </si>
  <si>
    <t>Destiny Martin</t>
  </si>
  <si>
    <t>Lynn Jones</t>
  </si>
  <si>
    <t>Jennifer Brooks</t>
  </si>
  <si>
    <t>Anna Garrett</t>
  </si>
  <si>
    <t>Alice Lucas</t>
  </si>
  <si>
    <t>Mark Harrison</t>
  </si>
  <si>
    <t>Jennifer Hernandez</t>
  </si>
  <si>
    <t>Dale Fisher</t>
  </si>
  <si>
    <t>Dr. Heidi Johnson</t>
  </si>
  <si>
    <t>Linda Nicholson</t>
  </si>
  <si>
    <t>Melissa Daniels</t>
  </si>
  <si>
    <t>Alexa Landry</t>
  </si>
  <si>
    <t>Larry Delgado</t>
  </si>
  <si>
    <t>Maria Harris</t>
  </si>
  <si>
    <t>Henry Hall</t>
  </si>
  <si>
    <t>Jesse Robertson</t>
  </si>
  <si>
    <t>Rebecca Gross</t>
  </si>
  <si>
    <t>Barbara Holland</t>
  </si>
  <si>
    <t>Chelsea Aguirre</t>
  </si>
  <si>
    <t>Erik Martinez</t>
  </si>
  <si>
    <t>Kathryn Bell</t>
  </si>
  <si>
    <t>Andre Carter</t>
  </si>
  <si>
    <t>Stephanie Moss</t>
  </si>
  <si>
    <t>Jason Bray</t>
  </si>
  <si>
    <t>Beth Stephens</t>
  </si>
  <si>
    <t>Scott Nguyen</t>
  </si>
  <si>
    <t>Brian Jones</t>
  </si>
  <si>
    <t>Robert Navarro</t>
  </si>
  <si>
    <t>Katelyn Miller</t>
  </si>
  <si>
    <t>Andrea Cruz</t>
  </si>
  <si>
    <t>Luke Price</t>
  </si>
  <si>
    <t>Virginia Lang</t>
  </si>
  <si>
    <t>David Kidd</t>
  </si>
  <si>
    <t>Kathy Thompson</t>
  </si>
  <si>
    <t>Eric Coffey</t>
  </si>
  <si>
    <t>Jeffrey Burns</t>
  </si>
  <si>
    <t>Robert Jimenez</t>
  </si>
  <si>
    <t>Tony Randall</t>
  </si>
  <si>
    <t>Madison Wilson</t>
  </si>
  <si>
    <t>Ryan Steele</t>
  </si>
  <si>
    <t>Henry Quinn</t>
  </si>
  <si>
    <t>Audrey Hansen</t>
  </si>
  <si>
    <t>Lauren Burns</t>
  </si>
  <si>
    <t>Amy Baxter</t>
  </si>
  <si>
    <t>Catherine Stein</t>
  </si>
  <si>
    <t>Donald Jacobson</t>
  </si>
  <si>
    <t>Emma Ferrell</t>
  </si>
  <si>
    <t>David Bradford</t>
  </si>
  <si>
    <t>Katherine Rios</t>
  </si>
  <si>
    <t>Elizabeth Foster</t>
  </si>
  <si>
    <t>Jade Blanchard MD</t>
  </si>
  <si>
    <t>Amber Waters</t>
  </si>
  <si>
    <t>Dawn Collins</t>
  </si>
  <si>
    <t>Darren Douglas</t>
  </si>
  <si>
    <t>Andrew Gordon</t>
  </si>
  <si>
    <t>Rebecca Banks</t>
  </si>
  <si>
    <t>April Randall DDS</t>
  </si>
  <si>
    <t>Mallory Martin</t>
  </si>
  <si>
    <t>David Whitney</t>
  </si>
  <si>
    <t>Alexander Harris</t>
  </si>
  <si>
    <t>Jim Jones</t>
  </si>
  <si>
    <t>James Johnston</t>
  </si>
  <si>
    <t>Drew Bartlett</t>
  </si>
  <si>
    <t>Karen Carter</t>
  </si>
  <si>
    <t>Chase Clark</t>
  </si>
  <si>
    <t>Mariah Davis</t>
  </si>
  <si>
    <t>Douglas Ford</t>
  </si>
  <si>
    <t>Rachel Baker</t>
  </si>
  <si>
    <t>Maria Gentry</t>
  </si>
  <si>
    <t>Dylan Jones</t>
  </si>
  <si>
    <t>Katherine Small</t>
  </si>
  <si>
    <t>Kimberly Goodman</t>
  </si>
  <si>
    <t>Luis Kim</t>
  </si>
  <si>
    <t>Vanessa Perkins</t>
  </si>
  <si>
    <t>Megan Smith</t>
  </si>
  <si>
    <t>Matthew Johnson</t>
  </si>
  <si>
    <t>John Moran</t>
  </si>
  <si>
    <t>Maria Williams</t>
  </si>
  <si>
    <t>Brandi Thomas</t>
  </si>
  <si>
    <t>Jordan Camacho Jr.</t>
  </si>
  <si>
    <t>Alexis Carter</t>
  </si>
  <si>
    <t>Hannah Perez</t>
  </si>
  <si>
    <t>Rita Smith</t>
  </si>
  <si>
    <t>Lucas Ray</t>
  </si>
  <si>
    <t>Carrie Larsen</t>
  </si>
  <si>
    <t>Robert Mclaughlin</t>
  </si>
  <si>
    <t>Shannon Mejia</t>
  </si>
  <si>
    <t>Judy Avila</t>
  </si>
  <si>
    <t>Morgan Ramos</t>
  </si>
  <si>
    <t>Christine Murphy</t>
  </si>
  <si>
    <t>Amanda Mendoza</t>
  </si>
  <si>
    <t>Sherry Wilson</t>
  </si>
  <si>
    <t>Pamela Wiley</t>
  </si>
  <si>
    <t>Jennifer Lowery</t>
  </si>
  <si>
    <t>Tracy Johnson</t>
  </si>
  <si>
    <t>Bethany Williams</t>
  </si>
  <si>
    <t>Kayla Woods</t>
  </si>
  <si>
    <t>Kyle Barnes Jr.</t>
  </si>
  <si>
    <t>Donna Peters</t>
  </si>
  <si>
    <t>Sandra Terry</t>
  </si>
  <si>
    <t>Debra Buchanan</t>
  </si>
  <si>
    <t>Rodney Gonzalez</t>
  </si>
  <si>
    <t>William Roberts Jr.</t>
  </si>
  <si>
    <t>Savannah Beltran</t>
  </si>
  <si>
    <t>Matthew Gutierrez</t>
  </si>
  <si>
    <t>Danny Cooper</t>
  </si>
  <si>
    <t>Mark Morrison</t>
  </si>
  <si>
    <t>Penny Friedman</t>
  </si>
  <si>
    <t>Janice Taylor</t>
  </si>
  <si>
    <t>Richard Hernandez</t>
  </si>
  <si>
    <t>Daniel Bradley</t>
  </si>
  <si>
    <t>Christopher Sherman</t>
  </si>
  <si>
    <t>Brian Griffith</t>
  </si>
  <si>
    <t>Robert Stanley</t>
  </si>
  <si>
    <t>Barbara Drake</t>
  </si>
  <si>
    <t>Julie Jacobs</t>
  </si>
  <si>
    <t>Carly Ford</t>
  </si>
  <si>
    <t>Scott Tran</t>
  </si>
  <si>
    <t>Benjamin Allen</t>
  </si>
  <si>
    <t>Richard Johnson</t>
  </si>
  <si>
    <t>Kelsey Rice</t>
  </si>
  <si>
    <t>Darren Jensen</t>
  </si>
  <si>
    <t>Steven Miller</t>
  </si>
  <si>
    <t>Bob Shaw</t>
  </si>
  <si>
    <t>James Stout</t>
  </si>
  <si>
    <t>Andrea Myers</t>
  </si>
  <si>
    <t>Jessica Murray</t>
  </si>
  <si>
    <t>James Harris</t>
  </si>
  <si>
    <t>Kelsey Collins</t>
  </si>
  <si>
    <t>Gabrielle Collins</t>
  </si>
  <si>
    <t>Alicia Davis</t>
  </si>
  <si>
    <t>Mark Bowers</t>
  </si>
  <si>
    <t>Antonio Bryant</t>
  </si>
  <si>
    <t>Kimberly Heath</t>
  </si>
  <si>
    <t>Amber Avila</t>
  </si>
  <si>
    <t>Steven Phelps</t>
  </si>
  <si>
    <t>Darren Williams</t>
  </si>
  <si>
    <t>Melanie Hernandez</t>
  </si>
  <si>
    <t>Adam Anderson</t>
  </si>
  <si>
    <t>Shannon Flores</t>
  </si>
  <si>
    <t>Scott Washington</t>
  </si>
  <si>
    <t>Kevin Peters</t>
  </si>
  <si>
    <t>Aaron Holder</t>
  </si>
  <si>
    <t>Lauren Ayers</t>
  </si>
  <si>
    <t>Patrick Saunders</t>
  </si>
  <si>
    <t>Casey Wagner</t>
  </si>
  <si>
    <t>Traci Chandler</t>
  </si>
  <si>
    <t>Tyler Carter</t>
  </si>
  <si>
    <t>Joanna Tucker</t>
  </si>
  <si>
    <t>Andrew Gray</t>
  </si>
  <si>
    <t>Kevin Johnson</t>
  </si>
  <si>
    <t>Lance Smith</t>
  </si>
  <si>
    <t>Lori Montgomery</t>
  </si>
  <si>
    <t>Christy Fisher</t>
  </si>
  <si>
    <t>Pamela Dalton</t>
  </si>
  <si>
    <t>Christopher Jones</t>
  </si>
  <si>
    <t>Angela Rogers</t>
  </si>
  <si>
    <t>Dr. Brian Smith</t>
  </si>
  <si>
    <t>Thomas Fleming</t>
  </si>
  <si>
    <t>Kimberly Mcdonald</t>
  </si>
  <si>
    <t>Leslie Medina</t>
  </si>
  <si>
    <t>Matthew Morse</t>
  </si>
  <si>
    <t>Jessica Rodriguez</t>
  </si>
  <si>
    <t>Jeffrey Martin</t>
  </si>
  <si>
    <t>Ian Weaver</t>
  </si>
  <si>
    <t>Audrey Torres</t>
  </si>
  <si>
    <t>Monica Jones</t>
  </si>
  <si>
    <t>Cheryl Bailey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</si>
</sst>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165" formatCode="&quot;$&quot;#,##0.00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64" formatCode="[$-F800]dddd\,\ mmmm\ dd\,\ yyyy"/>
    </dxf>
    <dxf>
      <numFmt numFmtId="1" formatCode="0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4C54E74-96C4-4E91-8F47-6376F3A289C9}" autoFormatId="16" applyNumberFormats="0" applyBorderFormats="0" applyFontFormats="0" applyPatternFormats="0" applyAlignmentFormats="0" applyWidthHeightFormats="0">
  <queryTableRefresh nextId="35" unboundColumnsRight="2">
    <queryTableFields count="15">
      <queryTableField id="1" name="patient_id" tableColumnId="1"/>
      <queryTableField id="3" name="age" tableColumnId="3"/>
      <queryTableField id="31" dataBound="0" tableColumnId="10"/>
      <queryTableField id="17" dataBound="0" tableColumnId="15"/>
      <queryTableField id="28" dataBound="0" tableColumnId="25"/>
      <queryTableField id="5" name="appointment_date" tableColumnId="5"/>
      <queryTableField id="34" dataBound="0" tableColumnId="12"/>
      <queryTableField id="33" dataBound="0" tableColumnId="13"/>
      <queryTableField id="32" dataBound="0" tableColumnId="14"/>
      <queryTableField id="6" name="booking_date" tableColumnId="6"/>
      <queryTableField id="7" name="doctor" tableColumnId="7"/>
      <queryTableField id="8" name="department" tableColumnId="8"/>
      <queryTableField id="11" name="billing_amount.1" tableColumnId="11"/>
      <queryTableField id="21" dataBound="0" tableColumnId="19"/>
      <queryTableField id="19" dataBound="0" tableColumnId="17"/>
    </queryTableFields>
    <queryTableDeletedFields count="3">
      <deletedField name="patient_name"/>
      <deletedField name="follow_up_required"/>
      <deletedField name="gender.1.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13F9E-0DDA-454C-BD08-55365AD0728A}" name="Patient_data" displayName="Patient_data" ref="A1:O892" tableType="queryTable" totalsRowShown="0">
  <autoFilter ref="A1:O892" xr:uid="{39913F9E-0DDA-454C-BD08-55365AD0728A}"/>
  <tableColumns count="15">
    <tableColumn id="1" xr3:uid="{80EE63C0-D9F5-402E-A2BB-74791EC17F2C}" uniqueName="1" name="Patient_ID" queryTableFieldId="1"/>
    <tableColumn id="3" xr3:uid="{08E91BF6-C31B-4835-AF41-835F7169146A}" uniqueName="3" name="Age" queryTableFieldId="3"/>
    <tableColumn id="10" xr3:uid="{6ABF65DE-3A8E-4B65-87B9-6E774AAD5633}" uniqueName="10" name="Age_Group" queryTableFieldId="31"/>
    <tableColumn id="15" xr3:uid="{3DC8F26D-3406-4F20-8438-DD49090F21CA}" uniqueName="15" name="Patient_Name" queryTableFieldId="17" dataDxfId="11"/>
    <tableColumn id="25" xr3:uid="{49FC7815-0C48-4B1C-A3EF-1BFCB962A17F}" uniqueName="25" name="Gender" queryTableFieldId="28" dataDxfId="10"/>
    <tableColumn id="5" xr3:uid="{B62E633D-8D46-4FF4-B328-C492AE7309CE}" uniqueName="5" name="Appointment_Date" queryTableFieldId="5" dataDxfId="9"/>
    <tableColumn id="12" xr3:uid="{CBA08D4A-B3DE-44FE-8D11-DC09BDC9EB80}" uniqueName="12" name="Appointment_Year" queryTableFieldId="34" dataDxfId="8">
      <calculatedColumnFormula>YEAR(Patient_data[[#This Row],[Appointment_Date]])</calculatedColumnFormula>
    </tableColumn>
    <tableColumn id="13" xr3:uid="{C2423782-09C0-42E9-B338-B718CB182E21}" uniqueName="13" name="Appointment_Month" queryTableFieldId="33" dataDxfId="7">
      <calculatedColumnFormula>TEXT(Patient_data[[#This Row],[Appointment_Date]],"mmmm")</calculatedColumnFormula>
    </tableColumn>
    <tableColumn id="14" xr3:uid="{FA60B15E-2828-4F89-9B4E-4D5196B15CDC}" uniqueName="14" name="Apointment_Month_Year" queryTableFieldId="32" dataDxfId="6">
      <calculatedColumnFormula>TEXT(Patient_data[[#This Row],[Appointment_Date]],"mmm-yyyy")</calculatedColumnFormula>
    </tableColumn>
    <tableColumn id="6" xr3:uid="{40EE9D36-5695-46AC-9B06-22C76627670B}" uniqueName="6" name="Booking_Date" queryTableFieldId="6" dataDxfId="5"/>
    <tableColumn id="7" xr3:uid="{2BAE5E78-FD77-43B4-ACCA-040884EF1C16}" uniqueName="7" name="Doctor" queryTableFieldId="7" dataDxfId="4"/>
    <tableColumn id="8" xr3:uid="{A4882DB2-AC45-42C3-B275-166C2C0CB68D}" uniqueName="8" name="Department" queryTableFieldId="8" dataDxfId="3"/>
    <tableColumn id="11" xr3:uid="{37BCF4B2-CD7D-4683-9910-8DBB2767E16F}" uniqueName="11" name="Billing_Amount" queryTableFieldId="11" dataDxfId="2"/>
    <tableColumn id="19" xr3:uid="{F6FD17FF-0FE1-443F-A9CC-CB1B76AA0D54}" uniqueName="19" name="Follow_up_Required" queryTableFieldId="21" dataDxfId="1"/>
    <tableColumn id="17" xr3:uid="{B2AD9F53-270B-49E6-A04E-B87A0E90BA93}" uniqueName="17" name="Booking_Lead_Days" queryTableFieldId="19" dataDxfId="0">
      <calculatedColumnFormula>Patient_data[[#This Row],[Appointment_Date]]-Patient_data[[#This Row],[Booking_Date]]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7606-735E-47C9-ABE7-F208FC883AA9}">
  <dimension ref="A1:O892"/>
  <sheetViews>
    <sheetView tabSelected="1" workbookViewId="0">
      <selection sqref="A1:XFD1048576"/>
    </sheetView>
  </sheetViews>
  <sheetFormatPr defaultRowHeight="15" x14ac:dyDescent="0.25"/>
  <cols>
    <col min="1" max="1" width="12.28515625" bestFit="1" customWidth="1"/>
    <col min="2" max="2" width="8.85546875" customWidth="1"/>
    <col min="3" max="3" width="16.28515625" customWidth="1"/>
    <col min="4" max="4" width="15.42578125" customWidth="1"/>
    <col min="5" max="5" width="20.85546875" bestFit="1" customWidth="1"/>
    <col min="6" max="6" width="16.5703125" customWidth="1"/>
    <col min="7" max="7" width="16.5703125" style="1" customWidth="1"/>
    <col min="8" max="8" width="16.5703125" style="2" customWidth="1"/>
    <col min="9" max="9" width="19.85546875" style="3" customWidth="1"/>
    <col min="10" max="10" width="18.28515625" bestFit="1" customWidth="1"/>
    <col min="11" max="11" width="20.85546875" bestFit="1" customWidth="1"/>
    <col min="12" max="12" width="20.85546875" customWidth="1"/>
    <col min="13" max="13" width="22.5703125" customWidth="1"/>
    <col min="14" max="14" width="24.28515625" customWidth="1"/>
    <col min="15" max="15" width="27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1069</v>
      </c>
      <c r="B2">
        <v>90</v>
      </c>
      <c r="C2" t="s">
        <v>15</v>
      </c>
      <c r="D2" t="s">
        <v>16</v>
      </c>
      <c r="E2" t="s">
        <v>17</v>
      </c>
      <c r="F2" s="3">
        <v>45944</v>
      </c>
      <c r="G2" s="1">
        <f>YEAR(Patient_data[[#This Row],[Appointment_Date]])</f>
        <v>2025</v>
      </c>
      <c r="H2" s="2" t="str">
        <f>TEXT(Patient_data[[#This Row],[Appointment_Date]],"mmmm")</f>
        <v>October</v>
      </c>
      <c r="I2" s="3" t="str">
        <f>TEXT(Patient_data[[#This Row],[Appointment_Date]],"mmm-yyyy")</f>
        <v>Oct-2025</v>
      </c>
      <c r="J2" s="3">
        <v>45440</v>
      </c>
      <c r="K2" t="s">
        <v>18</v>
      </c>
      <c r="L2" t="s">
        <v>19</v>
      </c>
      <c r="M2" s="4">
        <v>72.73</v>
      </c>
      <c r="N2" t="s">
        <v>20</v>
      </c>
      <c r="O2">
        <f>Patient_data[[#This Row],[Appointment_Date]]-Patient_data[[#This Row],[Booking_Date]]</f>
        <v>504</v>
      </c>
    </row>
    <row r="3" spans="1:15" x14ac:dyDescent="0.25">
      <c r="A3">
        <v>1058</v>
      </c>
      <c r="B3">
        <v>90</v>
      </c>
      <c r="C3" t="s">
        <v>15</v>
      </c>
      <c r="D3" t="s">
        <v>21</v>
      </c>
      <c r="E3" t="s">
        <v>17</v>
      </c>
      <c r="F3" s="3">
        <v>45790</v>
      </c>
      <c r="G3" s="1">
        <f>YEAR(Patient_data[[#This Row],[Appointment_Date]])</f>
        <v>2025</v>
      </c>
      <c r="H3" s="2" t="str">
        <f>TEXT(Patient_data[[#This Row],[Appointment_Date]],"mmmm")</f>
        <v>May</v>
      </c>
      <c r="I3" s="3" t="str">
        <f>TEXT(Patient_data[[#This Row],[Appointment_Date]],"mmm-yyyy")</f>
        <v>May-2025</v>
      </c>
      <c r="J3" s="3">
        <v>45460</v>
      </c>
      <c r="K3" t="s">
        <v>22</v>
      </c>
      <c r="L3" t="s">
        <v>23</v>
      </c>
      <c r="M3" s="4">
        <v>9.61</v>
      </c>
      <c r="N3" t="s">
        <v>24</v>
      </c>
      <c r="O3">
        <f>Patient_data[[#This Row],[Appointment_Date]]-Patient_data[[#This Row],[Booking_Date]]</f>
        <v>330</v>
      </c>
    </row>
    <row r="4" spans="1:15" x14ac:dyDescent="0.25">
      <c r="A4">
        <v>1001</v>
      </c>
      <c r="B4">
        <v>90</v>
      </c>
      <c r="C4" t="s">
        <v>15</v>
      </c>
      <c r="D4" t="s">
        <v>25</v>
      </c>
      <c r="E4" t="s">
        <v>17</v>
      </c>
      <c r="F4" s="3">
        <v>45973</v>
      </c>
      <c r="G4" s="1">
        <f>YEAR(Patient_data[[#This Row],[Appointment_Date]])</f>
        <v>2025</v>
      </c>
      <c r="H4" s="2" t="str">
        <f>TEXT(Patient_data[[#This Row],[Appointment_Date]],"mmmm")</f>
        <v>November</v>
      </c>
      <c r="I4" s="3" t="str">
        <f>TEXT(Patient_data[[#This Row],[Appointment_Date]],"mmm-yyyy")</f>
        <v>Nov-2025</v>
      </c>
      <c r="J4" s="3">
        <v>45904</v>
      </c>
      <c r="K4" t="s">
        <v>26</v>
      </c>
      <c r="L4" t="s">
        <v>19</v>
      </c>
      <c r="M4" s="4">
        <v>23.18</v>
      </c>
      <c r="N4" t="s">
        <v>20</v>
      </c>
      <c r="O4">
        <f>Patient_data[[#This Row],[Appointment_Date]]-Patient_data[[#This Row],[Booking_Date]]</f>
        <v>69</v>
      </c>
    </row>
    <row r="5" spans="1:15" x14ac:dyDescent="0.25">
      <c r="A5">
        <v>1037</v>
      </c>
      <c r="B5">
        <v>90</v>
      </c>
      <c r="C5" t="s">
        <v>15</v>
      </c>
      <c r="D5" t="s">
        <v>27</v>
      </c>
      <c r="E5" t="s">
        <v>28</v>
      </c>
      <c r="F5" s="3">
        <v>45999</v>
      </c>
      <c r="G5" s="1">
        <f>YEAR(Patient_data[[#This Row],[Appointment_Date]])</f>
        <v>2025</v>
      </c>
      <c r="H5" s="2" t="str">
        <f>TEXT(Patient_data[[#This Row],[Appointment_Date]],"mmmm")</f>
        <v>December</v>
      </c>
      <c r="I5" s="3" t="str">
        <f>TEXT(Patient_data[[#This Row],[Appointment_Date]],"mmm-yyyy")</f>
        <v>Dec-2025</v>
      </c>
      <c r="J5" s="3">
        <v>45510</v>
      </c>
      <c r="K5" t="s">
        <v>29</v>
      </c>
      <c r="L5" t="s">
        <v>30</v>
      </c>
      <c r="M5" s="4">
        <v>96.2</v>
      </c>
      <c r="N5" t="s">
        <v>20</v>
      </c>
      <c r="O5">
        <f>Patient_data[[#This Row],[Appointment_Date]]-Patient_data[[#This Row],[Booking_Date]]</f>
        <v>489</v>
      </c>
    </row>
    <row r="6" spans="1:15" x14ac:dyDescent="0.25">
      <c r="A6">
        <v>1035</v>
      </c>
      <c r="B6">
        <v>90</v>
      </c>
      <c r="C6" t="s">
        <v>15</v>
      </c>
      <c r="D6" t="s">
        <v>31</v>
      </c>
      <c r="E6" t="s">
        <v>17</v>
      </c>
      <c r="F6" s="3">
        <v>45876</v>
      </c>
      <c r="G6" s="1">
        <f>YEAR(Patient_data[[#This Row],[Appointment_Date]])</f>
        <v>2025</v>
      </c>
      <c r="H6" s="2" t="str">
        <f>TEXT(Patient_data[[#This Row],[Appointment_Date]],"mmmm")</f>
        <v>August</v>
      </c>
      <c r="I6" s="3" t="str">
        <f>TEXT(Patient_data[[#This Row],[Appointment_Date]],"mmm-yyyy")</f>
        <v>Aug-2025</v>
      </c>
      <c r="J6" s="3">
        <v>45649</v>
      </c>
      <c r="K6" t="s">
        <v>32</v>
      </c>
      <c r="L6" t="s">
        <v>19</v>
      </c>
      <c r="M6" s="4">
        <v>9.41</v>
      </c>
      <c r="N6" t="s">
        <v>20</v>
      </c>
      <c r="O6">
        <f>Patient_data[[#This Row],[Appointment_Date]]-Patient_data[[#This Row],[Booking_Date]]</f>
        <v>227</v>
      </c>
    </row>
    <row r="7" spans="1:15" x14ac:dyDescent="0.25">
      <c r="A7">
        <v>1074</v>
      </c>
      <c r="B7">
        <v>90</v>
      </c>
      <c r="C7" t="s">
        <v>15</v>
      </c>
      <c r="D7" t="s">
        <v>33</v>
      </c>
      <c r="E7" t="s">
        <v>28</v>
      </c>
      <c r="F7" s="3">
        <v>45966</v>
      </c>
      <c r="G7" s="1">
        <f>YEAR(Patient_data[[#This Row],[Appointment_Date]])</f>
        <v>2025</v>
      </c>
      <c r="H7" s="2" t="str">
        <f>TEXT(Patient_data[[#This Row],[Appointment_Date]],"mmmm")</f>
        <v>November</v>
      </c>
      <c r="I7" s="3" t="str">
        <f>TEXT(Patient_data[[#This Row],[Appointment_Date]],"mmm-yyyy")</f>
        <v>Nov-2025</v>
      </c>
      <c r="J7" s="3">
        <v>45449</v>
      </c>
      <c r="K7" t="s">
        <v>34</v>
      </c>
      <c r="L7" t="s">
        <v>23</v>
      </c>
      <c r="M7" s="4">
        <v>50.12</v>
      </c>
      <c r="N7" t="s">
        <v>20</v>
      </c>
      <c r="O7">
        <f>Patient_data[[#This Row],[Appointment_Date]]-Patient_data[[#This Row],[Booking_Date]]</f>
        <v>517</v>
      </c>
    </row>
    <row r="8" spans="1:15" x14ac:dyDescent="0.25">
      <c r="A8">
        <v>1082</v>
      </c>
      <c r="B8">
        <v>89</v>
      </c>
      <c r="C8" t="s">
        <v>15</v>
      </c>
      <c r="D8" t="s">
        <v>35</v>
      </c>
      <c r="E8" t="s">
        <v>28</v>
      </c>
      <c r="F8" s="3">
        <v>45743</v>
      </c>
      <c r="G8" s="1">
        <f>YEAR(Patient_data[[#This Row],[Appointment_Date]])</f>
        <v>2025</v>
      </c>
      <c r="H8" s="2" t="str">
        <f>TEXT(Patient_data[[#This Row],[Appointment_Date]],"mmmm")</f>
        <v>March</v>
      </c>
      <c r="I8" s="3" t="str">
        <f>TEXT(Patient_data[[#This Row],[Appointment_Date]],"mmm-yyyy")</f>
        <v>Mar-2025</v>
      </c>
      <c r="J8" s="3">
        <v>45642</v>
      </c>
      <c r="K8" t="s">
        <v>36</v>
      </c>
      <c r="L8" t="s">
        <v>30</v>
      </c>
      <c r="M8" s="4">
        <v>466.92</v>
      </c>
      <c r="N8" t="s">
        <v>20</v>
      </c>
      <c r="O8">
        <f>Patient_data[[#This Row],[Appointment_Date]]-Patient_data[[#This Row],[Booking_Date]]</f>
        <v>101</v>
      </c>
    </row>
    <row r="9" spans="1:15" x14ac:dyDescent="0.25">
      <c r="A9">
        <v>1013</v>
      </c>
      <c r="B9">
        <v>89</v>
      </c>
      <c r="C9" t="s">
        <v>15</v>
      </c>
      <c r="D9" t="s">
        <v>37</v>
      </c>
      <c r="E9" t="s">
        <v>17</v>
      </c>
      <c r="F9" s="3">
        <v>45944</v>
      </c>
      <c r="G9" s="1">
        <f>YEAR(Patient_data[[#This Row],[Appointment_Date]])</f>
        <v>2025</v>
      </c>
      <c r="H9" s="2" t="str">
        <f>TEXT(Patient_data[[#This Row],[Appointment_Date]],"mmmm")</f>
        <v>October</v>
      </c>
      <c r="I9" s="3" t="str">
        <f>TEXT(Patient_data[[#This Row],[Appointment_Date]],"mmm-yyyy")</f>
        <v>Oct-2025</v>
      </c>
      <c r="J9" s="3">
        <v>45551</v>
      </c>
      <c r="K9" t="s">
        <v>38</v>
      </c>
      <c r="L9" t="s">
        <v>30</v>
      </c>
      <c r="M9" s="4">
        <v>11.32</v>
      </c>
      <c r="N9" t="s">
        <v>24</v>
      </c>
      <c r="O9">
        <f>Patient_data[[#This Row],[Appointment_Date]]-Patient_data[[#This Row],[Booking_Date]]</f>
        <v>393</v>
      </c>
    </row>
    <row r="10" spans="1:15" x14ac:dyDescent="0.25">
      <c r="A10">
        <v>1002</v>
      </c>
      <c r="B10">
        <v>89</v>
      </c>
      <c r="C10" t="s">
        <v>15</v>
      </c>
      <c r="D10" t="s">
        <v>39</v>
      </c>
      <c r="E10" t="s">
        <v>28</v>
      </c>
      <c r="F10" s="3">
        <v>45847</v>
      </c>
      <c r="G10" s="1">
        <f>YEAR(Patient_data[[#This Row],[Appointment_Date]])</f>
        <v>2025</v>
      </c>
      <c r="H10" s="2" t="str">
        <f>TEXT(Patient_data[[#This Row],[Appointment_Date]],"mmmm")</f>
        <v>July</v>
      </c>
      <c r="I10" s="3" t="str">
        <f>TEXT(Patient_data[[#This Row],[Appointment_Date]],"mmm-yyyy")</f>
        <v>Jul-2025</v>
      </c>
      <c r="J10" s="3">
        <v>45660</v>
      </c>
      <c r="K10" t="s">
        <v>40</v>
      </c>
      <c r="L10" t="s">
        <v>19</v>
      </c>
      <c r="M10" s="4">
        <v>67.8</v>
      </c>
      <c r="N10" t="s">
        <v>24</v>
      </c>
      <c r="O10">
        <f>Patient_data[[#This Row],[Appointment_Date]]-Patient_data[[#This Row],[Booking_Date]]</f>
        <v>187</v>
      </c>
    </row>
    <row r="11" spans="1:15" x14ac:dyDescent="0.25">
      <c r="A11">
        <v>1032</v>
      </c>
      <c r="B11">
        <v>89</v>
      </c>
      <c r="C11" t="s">
        <v>15</v>
      </c>
      <c r="D11" t="s">
        <v>41</v>
      </c>
      <c r="E11" t="s">
        <v>17</v>
      </c>
      <c r="F11" s="3">
        <v>46071</v>
      </c>
      <c r="G11" s="1">
        <f>YEAR(Patient_data[[#This Row],[Appointment_Date]])</f>
        <v>2026</v>
      </c>
      <c r="H11" s="2" t="str">
        <f>TEXT(Patient_data[[#This Row],[Appointment_Date]],"mmmm")</f>
        <v>February</v>
      </c>
      <c r="I11" s="3" t="str">
        <f>TEXT(Patient_data[[#This Row],[Appointment_Date]],"mmm-yyyy")</f>
        <v>Feb-2026</v>
      </c>
      <c r="J11" s="3">
        <v>45599</v>
      </c>
      <c r="K11" t="s">
        <v>42</v>
      </c>
      <c r="L11" t="s">
        <v>43</v>
      </c>
      <c r="M11" s="4">
        <v>224.61</v>
      </c>
      <c r="N11" t="s">
        <v>20</v>
      </c>
      <c r="O11">
        <f>Patient_data[[#This Row],[Appointment_Date]]-Patient_data[[#This Row],[Booking_Date]]</f>
        <v>472</v>
      </c>
    </row>
    <row r="12" spans="1:15" x14ac:dyDescent="0.25">
      <c r="A12">
        <v>1092</v>
      </c>
      <c r="B12">
        <v>89</v>
      </c>
      <c r="C12" t="s">
        <v>15</v>
      </c>
      <c r="D12" t="s">
        <v>44</v>
      </c>
      <c r="E12" t="s">
        <v>28</v>
      </c>
      <c r="F12" s="3">
        <v>45840</v>
      </c>
      <c r="G12" s="1">
        <f>YEAR(Patient_data[[#This Row],[Appointment_Date]])</f>
        <v>2025</v>
      </c>
      <c r="H12" s="2" t="str">
        <f>TEXT(Patient_data[[#This Row],[Appointment_Date]],"mmmm")</f>
        <v>July</v>
      </c>
      <c r="I12" s="3" t="str">
        <f>TEXT(Patient_data[[#This Row],[Appointment_Date]],"mmm-yyyy")</f>
        <v>Jul-2025</v>
      </c>
      <c r="J12" s="3">
        <v>45755</v>
      </c>
      <c r="K12" t="s">
        <v>45</v>
      </c>
      <c r="L12" t="s">
        <v>23</v>
      </c>
      <c r="M12" s="4">
        <v>86.43</v>
      </c>
      <c r="N12" t="s">
        <v>20</v>
      </c>
      <c r="O12">
        <f>Patient_data[[#This Row],[Appointment_Date]]-Patient_data[[#This Row],[Booking_Date]]</f>
        <v>85</v>
      </c>
    </row>
    <row r="13" spans="1:15" x14ac:dyDescent="0.25">
      <c r="A13">
        <v>1003</v>
      </c>
      <c r="B13">
        <v>89</v>
      </c>
      <c r="C13" t="s">
        <v>15</v>
      </c>
      <c r="D13" t="s">
        <v>46</v>
      </c>
      <c r="E13" t="s">
        <v>28</v>
      </c>
      <c r="F13" s="3">
        <v>46013</v>
      </c>
      <c r="G13" s="1">
        <f>YEAR(Patient_data[[#This Row],[Appointment_Date]])</f>
        <v>2025</v>
      </c>
      <c r="H13" s="2" t="str">
        <f>TEXT(Patient_data[[#This Row],[Appointment_Date]],"mmmm")</f>
        <v>December</v>
      </c>
      <c r="I13" s="3" t="str">
        <f>TEXT(Patient_data[[#This Row],[Appointment_Date]],"mmm-yyyy")</f>
        <v>Dec-2025</v>
      </c>
      <c r="J13" s="3">
        <v>45724</v>
      </c>
      <c r="K13" t="s">
        <v>47</v>
      </c>
      <c r="L13" t="s">
        <v>23</v>
      </c>
      <c r="M13" s="4">
        <v>53.73</v>
      </c>
      <c r="N13" t="s">
        <v>24</v>
      </c>
      <c r="O13">
        <f>Patient_data[[#This Row],[Appointment_Date]]-Patient_data[[#This Row],[Booking_Date]]</f>
        <v>289</v>
      </c>
    </row>
    <row r="14" spans="1:15" x14ac:dyDescent="0.25">
      <c r="A14">
        <v>1022</v>
      </c>
      <c r="B14">
        <v>89</v>
      </c>
      <c r="C14" t="s">
        <v>15</v>
      </c>
      <c r="D14" t="s">
        <v>48</v>
      </c>
      <c r="E14" t="s">
        <v>17</v>
      </c>
      <c r="F14" s="3">
        <v>46055</v>
      </c>
      <c r="G14" s="1">
        <f>YEAR(Patient_data[[#This Row],[Appointment_Date]])</f>
        <v>2026</v>
      </c>
      <c r="H14" s="2" t="str">
        <f>TEXT(Patient_data[[#This Row],[Appointment_Date]],"mmmm")</f>
        <v>February</v>
      </c>
      <c r="I14" s="3" t="str">
        <f>TEXT(Patient_data[[#This Row],[Appointment_Date]],"mmm-yyyy")</f>
        <v>Feb-2026</v>
      </c>
      <c r="J14" s="3">
        <v>45665</v>
      </c>
      <c r="K14" t="s">
        <v>49</v>
      </c>
      <c r="L14" t="s">
        <v>19</v>
      </c>
      <c r="M14" s="4">
        <v>24.53</v>
      </c>
      <c r="N14" t="s">
        <v>24</v>
      </c>
      <c r="O14">
        <f>Patient_data[[#This Row],[Appointment_Date]]-Patient_data[[#This Row],[Booking_Date]]</f>
        <v>390</v>
      </c>
    </row>
    <row r="15" spans="1:15" x14ac:dyDescent="0.25">
      <c r="A15">
        <v>1048</v>
      </c>
      <c r="B15">
        <v>89</v>
      </c>
      <c r="C15" t="s">
        <v>15</v>
      </c>
      <c r="D15" t="s">
        <v>50</v>
      </c>
      <c r="E15" t="s">
        <v>17</v>
      </c>
      <c r="F15" s="3">
        <v>45858</v>
      </c>
      <c r="G15" s="1">
        <f>YEAR(Patient_data[[#This Row],[Appointment_Date]])</f>
        <v>2025</v>
      </c>
      <c r="H15" s="2" t="str">
        <f>TEXT(Patient_data[[#This Row],[Appointment_Date]],"mmmm")</f>
        <v>July</v>
      </c>
      <c r="I15" s="3" t="str">
        <f>TEXT(Patient_data[[#This Row],[Appointment_Date]],"mmm-yyyy")</f>
        <v>Jul-2025</v>
      </c>
      <c r="J15" s="3">
        <v>45455</v>
      </c>
      <c r="K15" t="s">
        <v>51</v>
      </c>
      <c r="L15" t="s">
        <v>19</v>
      </c>
      <c r="M15" s="4">
        <v>71.69</v>
      </c>
      <c r="N15" t="s">
        <v>20</v>
      </c>
      <c r="O15">
        <f>Patient_data[[#This Row],[Appointment_Date]]-Patient_data[[#This Row],[Booking_Date]]</f>
        <v>403</v>
      </c>
    </row>
    <row r="16" spans="1:15" x14ac:dyDescent="0.25">
      <c r="A16">
        <v>1064</v>
      </c>
      <c r="B16">
        <v>88</v>
      </c>
      <c r="C16" t="s">
        <v>15</v>
      </c>
      <c r="D16" t="s">
        <v>52</v>
      </c>
      <c r="E16" t="s">
        <v>28</v>
      </c>
      <c r="F16" s="3">
        <v>46052</v>
      </c>
      <c r="G16" s="1">
        <f>YEAR(Patient_data[[#This Row],[Appointment_Date]])</f>
        <v>2026</v>
      </c>
      <c r="H16" s="2" t="str">
        <f>TEXT(Patient_data[[#This Row],[Appointment_Date]],"mmmm")</f>
        <v>January</v>
      </c>
      <c r="I16" s="3" t="str">
        <f>TEXT(Patient_data[[#This Row],[Appointment_Date]],"mmm-yyyy")</f>
        <v>Jan-2026</v>
      </c>
      <c r="J16" s="3">
        <v>45516</v>
      </c>
      <c r="K16" t="s">
        <v>53</v>
      </c>
      <c r="L16" t="s">
        <v>23</v>
      </c>
      <c r="M16" s="4">
        <v>3.61</v>
      </c>
      <c r="N16" t="s">
        <v>20</v>
      </c>
      <c r="O16">
        <f>Patient_data[[#This Row],[Appointment_Date]]-Patient_data[[#This Row],[Booking_Date]]</f>
        <v>536</v>
      </c>
    </row>
    <row r="17" spans="1:15" x14ac:dyDescent="0.25">
      <c r="A17">
        <v>1073</v>
      </c>
      <c r="B17">
        <v>88</v>
      </c>
      <c r="C17" t="s">
        <v>15</v>
      </c>
      <c r="D17" t="s">
        <v>54</v>
      </c>
      <c r="E17" t="s">
        <v>17</v>
      </c>
      <c r="F17" s="3">
        <v>45835</v>
      </c>
      <c r="G17" s="1">
        <f>YEAR(Patient_data[[#This Row],[Appointment_Date]])</f>
        <v>2025</v>
      </c>
      <c r="H17" s="2" t="str">
        <f>TEXT(Patient_data[[#This Row],[Appointment_Date]],"mmmm")</f>
        <v>June</v>
      </c>
      <c r="I17" s="3" t="str">
        <f>TEXT(Patient_data[[#This Row],[Appointment_Date]],"mmm-yyyy")</f>
        <v>Jun-2025</v>
      </c>
      <c r="J17" s="3">
        <v>45783</v>
      </c>
      <c r="K17" t="s">
        <v>55</v>
      </c>
      <c r="L17" t="s">
        <v>23</v>
      </c>
      <c r="M17" s="4">
        <v>1.72</v>
      </c>
      <c r="N17" t="s">
        <v>24</v>
      </c>
      <c r="O17">
        <f>Patient_data[[#This Row],[Appointment_Date]]-Patient_data[[#This Row],[Booking_Date]]</f>
        <v>52</v>
      </c>
    </row>
    <row r="18" spans="1:15" x14ac:dyDescent="0.25">
      <c r="A18">
        <v>1032</v>
      </c>
      <c r="B18">
        <v>88</v>
      </c>
      <c r="C18" t="s">
        <v>15</v>
      </c>
      <c r="D18" t="s">
        <v>56</v>
      </c>
      <c r="E18" t="s">
        <v>17</v>
      </c>
      <c r="F18" s="3">
        <v>46044</v>
      </c>
      <c r="G18" s="1">
        <f>YEAR(Patient_data[[#This Row],[Appointment_Date]])</f>
        <v>2026</v>
      </c>
      <c r="H18" s="2" t="str">
        <f>TEXT(Patient_data[[#This Row],[Appointment_Date]],"mmmm")</f>
        <v>January</v>
      </c>
      <c r="I18" s="3" t="str">
        <f>TEXT(Patient_data[[#This Row],[Appointment_Date]],"mmm-yyyy")</f>
        <v>Jan-2026</v>
      </c>
      <c r="J18" s="3">
        <v>45389</v>
      </c>
      <c r="K18" t="s">
        <v>57</v>
      </c>
      <c r="L18" t="s">
        <v>23</v>
      </c>
      <c r="M18" s="4">
        <v>100.2</v>
      </c>
      <c r="N18" t="s">
        <v>20</v>
      </c>
      <c r="O18">
        <f>Patient_data[[#This Row],[Appointment_Date]]-Patient_data[[#This Row],[Booking_Date]]</f>
        <v>655</v>
      </c>
    </row>
    <row r="19" spans="1:15" x14ac:dyDescent="0.25">
      <c r="A19">
        <v>1098</v>
      </c>
      <c r="B19">
        <v>88</v>
      </c>
      <c r="C19" t="s">
        <v>15</v>
      </c>
      <c r="D19" t="s">
        <v>58</v>
      </c>
      <c r="E19" t="s">
        <v>28</v>
      </c>
      <c r="F19" s="3">
        <v>46067</v>
      </c>
      <c r="G19" s="1">
        <f>YEAR(Patient_data[[#This Row],[Appointment_Date]])</f>
        <v>2026</v>
      </c>
      <c r="H19" s="2" t="str">
        <f>TEXT(Patient_data[[#This Row],[Appointment_Date]],"mmmm")</f>
        <v>February</v>
      </c>
      <c r="I19" s="3" t="str">
        <f>TEXT(Patient_data[[#This Row],[Appointment_Date]],"mmm-yyyy")</f>
        <v>Feb-2026</v>
      </c>
      <c r="J19" s="3">
        <v>45653</v>
      </c>
      <c r="K19" t="s">
        <v>59</v>
      </c>
      <c r="L19" t="s">
        <v>43</v>
      </c>
      <c r="M19" s="4">
        <v>81.92</v>
      </c>
      <c r="N19" t="s">
        <v>20</v>
      </c>
      <c r="O19">
        <f>Patient_data[[#This Row],[Appointment_Date]]-Patient_data[[#This Row],[Booking_Date]]</f>
        <v>414</v>
      </c>
    </row>
    <row r="20" spans="1:15" x14ac:dyDescent="0.25">
      <c r="A20">
        <v>1059</v>
      </c>
      <c r="B20">
        <v>88</v>
      </c>
      <c r="C20" t="s">
        <v>15</v>
      </c>
      <c r="D20" t="s">
        <v>60</v>
      </c>
      <c r="E20" t="s">
        <v>17</v>
      </c>
      <c r="F20" s="3">
        <v>45868</v>
      </c>
      <c r="G20" s="1">
        <f>YEAR(Patient_data[[#This Row],[Appointment_Date]])</f>
        <v>2025</v>
      </c>
      <c r="H20" s="2" t="str">
        <f>TEXT(Patient_data[[#This Row],[Appointment_Date]],"mmmm")</f>
        <v>July</v>
      </c>
      <c r="I20" s="3" t="str">
        <f>TEXT(Patient_data[[#This Row],[Appointment_Date]],"mmm-yyyy")</f>
        <v>Jul-2025</v>
      </c>
      <c r="J20" s="3">
        <v>45838</v>
      </c>
      <c r="K20" t="s">
        <v>61</v>
      </c>
      <c r="L20" t="s">
        <v>23</v>
      </c>
      <c r="M20" s="4">
        <v>94.19</v>
      </c>
      <c r="N20" t="s">
        <v>24</v>
      </c>
      <c r="O20">
        <f>Patient_data[[#This Row],[Appointment_Date]]-Patient_data[[#This Row],[Booking_Date]]</f>
        <v>30</v>
      </c>
    </row>
    <row r="21" spans="1:15" x14ac:dyDescent="0.25">
      <c r="A21">
        <v>1071</v>
      </c>
      <c r="B21">
        <v>88</v>
      </c>
      <c r="C21" t="s">
        <v>15</v>
      </c>
      <c r="D21" t="s">
        <v>62</v>
      </c>
      <c r="E21" t="s">
        <v>17</v>
      </c>
      <c r="F21" s="3">
        <v>45996</v>
      </c>
      <c r="G21" s="1">
        <f>YEAR(Patient_data[[#This Row],[Appointment_Date]])</f>
        <v>2025</v>
      </c>
      <c r="H21" s="2" t="str">
        <f>TEXT(Patient_data[[#This Row],[Appointment_Date]],"mmmm")</f>
        <v>December</v>
      </c>
      <c r="I21" s="3" t="str">
        <f>TEXT(Patient_data[[#This Row],[Appointment_Date]],"mmm-yyyy")</f>
        <v>Dec-2025</v>
      </c>
      <c r="J21" s="3">
        <v>45506</v>
      </c>
      <c r="K21" t="s">
        <v>63</v>
      </c>
      <c r="L21" t="s">
        <v>19</v>
      </c>
      <c r="M21" s="4">
        <v>344.57</v>
      </c>
      <c r="N21" t="s">
        <v>24</v>
      </c>
      <c r="O21">
        <f>Patient_data[[#This Row],[Appointment_Date]]-Patient_data[[#This Row],[Booking_Date]]</f>
        <v>490</v>
      </c>
    </row>
    <row r="22" spans="1:15" x14ac:dyDescent="0.25">
      <c r="A22">
        <v>1063</v>
      </c>
      <c r="B22">
        <v>88</v>
      </c>
      <c r="C22" t="s">
        <v>15</v>
      </c>
      <c r="D22" t="s">
        <v>64</v>
      </c>
      <c r="E22" t="s">
        <v>28</v>
      </c>
      <c r="F22" s="3">
        <v>45995</v>
      </c>
      <c r="G22" s="1">
        <f>YEAR(Patient_data[[#This Row],[Appointment_Date]])</f>
        <v>2025</v>
      </c>
      <c r="H22" s="2" t="str">
        <f>TEXT(Patient_data[[#This Row],[Appointment_Date]],"mmmm")</f>
        <v>December</v>
      </c>
      <c r="I22" s="3" t="str">
        <f>TEXT(Patient_data[[#This Row],[Appointment_Date]],"mmm-yyyy")</f>
        <v>Dec-2025</v>
      </c>
      <c r="J22" s="3">
        <v>45941</v>
      </c>
      <c r="K22" t="s">
        <v>65</v>
      </c>
      <c r="L22" t="s">
        <v>43</v>
      </c>
      <c r="M22" s="4">
        <v>268.75</v>
      </c>
      <c r="N22" t="s">
        <v>20</v>
      </c>
      <c r="O22">
        <f>Patient_data[[#This Row],[Appointment_Date]]-Patient_data[[#This Row],[Booking_Date]]</f>
        <v>54</v>
      </c>
    </row>
    <row r="23" spans="1:15" x14ac:dyDescent="0.25">
      <c r="A23">
        <v>1097</v>
      </c>
      <c r="B23">
        <v>88</v>
      </c>
      <c r="C23" t="s">
        <v>15</v>
      </c>
      <c r="D23" t="s">
        <v>66</v>
      </c>
      <c r="E23" t="s">
        <v>28</v>
      </c>
      <c r="F23" s="3">
        <v>46018</v>
      </c>
      <c r="G23" s="1">
        <f>YEAR(Patient_data[[#This Row],[Appointment_Date]])</f>
        <v>2025</v>
      </c>
      <c r="H23" s="2" t="str">
        <f>TEXT(Patient_data[[#This Row],[Appointment_Date]],"mmmm")</f>
        <v>December</v>
      </c>
      <c r="I23" s="3" t="str">
        <f>TEXT(Patient_data[[#This Row],[Appointment_Date]],"mmm-yyyy")</f>
        <v>Dec-2025</v>
      </c>
      <c r="J23" s="3">
        <v>45651</v>
      </c>
      <c r="K23" t="s">
        <v>67</v>
      </c>
      <c r="L23" t="s">
        <v>23</v>
      </c>
      <c r="M23" s="4">
        <v>98.47</v>
      </c>
      <c r="N23" t="s">
        <v>24</v>
      </c>
      <c r="O23">
        <f>Patient_data[[#This Row],[Appointment_Date]]-Patient_data[[#This Row],[Booking_Date]]</f>
        <v>367</v>
      </c>
    </row>
    <row r="24" spans="1:15" x14ac:dyDescent="0.25">
      <c r="A24">
        <v>1071</v>
      </c>
      <c r="B24">
        <v>88</v>
      </c>
      <c r="C24" t="s">
        <v>15</v>
      </c>
      <c r="D24" t="s">
        <v>68</v>
      </c>
      <c r="E24" t="s">
        <v>28</v>
      </c>
      <c r="F24" s="3">
        <v>45961</v>
      </c>
      <c r="G24" s="1">
        <f>YEAR(Patient_data[[#This Row],[Appointment_Date]])</f>
        <v>2025</v>
      </c>
      <c r="H24" s="2" t="str">
        <f>TEXT(Patient_data[[#This Row],[Appointment_Date]],"mmmm")</f>
        <v>October</v>
      </c>
      <c r="I24" s="3" t="str">
        <f>TEXT(Patient_data[[#This Row],[Appointment_Date]],"mmm-yyyy")</f>
        <v>Oct-2025</v>
      </c>
      <c r="J24" s="3">
        <v>45831</v>
      </c>
      <c r="K24" t="s">
        <v>69</v>
      </c>
      <c r="L24" t="s">
        <v>30</v>
      </c>
      <c r="M24" s="4">
        <v>11.75</v>
      </c>
      <c r="N24" t="s">
        <v>24</v>
      </c>
      <c r="O24">
        <f>Patient_data[[#This Row],[Appointment_Date]]-Patient_data[[#This Row],[Booking_Date]]</f>
        <v>130</v>
      </c>
    </row>
    <row r="25" spans="1:15" x14ac:dyDescent="0.25">
      <c r="A25">
        <v>1028</v>
      </c>
      <c r="B25">
        <v>88</v>
      </c>
      <c r="C25" t="s">
        <v>15</v>
      </c>
      <c r="D25" t="s">
        <v>70</v>
      </c>
      <c r="E25" t="s">
        <v>28</v>
      </c>
      <c r="F25" s="3">
        <v>45959</v>
      </c>
      <c r="G25" s="1">
        <f>YEAR(Patient_data[[#This Row],[Appointment_Date]])</f>
        <v>2025</v>
      </c>
      <c r="H25" s="2" t="str">
        <f>TEXT(Patient_data[[#This Row],[Appointment_Date]],"mmmm")</f>
        <v>October</v>
      </c>
      <c r="I25" s="3" t="str">
        <f>TEXT(Patient_data[[#This Row],[Appointment_Date]],"mmm-yyyy")</f>
        <v>Oct-2025</v>
      </c>
      <c r="J25" s="3">
        <v>45738</v>
      </c>
      <c r="K25" t="s">
        <v>71</v>
      </c>
      <c r="L25" t="s">
        <v>30</v>
      </c>
      <c r="M25" s="4">
        <v>256.58999999999997</v>
      </c>
      <c r="N25" t="s">
        <v>24</v>
      </c>
      <c r="O25">
        <f>Patient_data[[#This Row],[Appointment_Date]]-Patient_data[[#This Row],[Booking_Date]]</f>
        <v>221</v>
      </c>
    </row>
    <row r="26" spans="1:15" x14ac:dyDescent="0.25">
      <c r="A26">
        <v>1052</v>
      </c>
      <c r="B26">
        <v>88</v>
      </c>
      <c r="C26" t="s">
        <v>15</v>
      </c>
      <c r="D26" t="s">
        <v>72</v>
      </c>
      <c r="E26" t="s">
        <v>17</v>
      </c>
      <c r="F26" s="3">
        <v>46006</v>
      </c>
      <c r="G26" s="1">
        <f>YEAR(Patient_data[[#This Row],[Appointment_Date]])</f>
        <v>2025</v>
      </c>
      <c r="H26" s="2" t="str">
        <f>TEXT(Patient_data[[#This Row],[Appointment_Date]],"mmmm")</f>
        <v>December</v>
      </c>
      <c r="I26" s="3" t="str">
        <f>TEXT(Patient_data[[#This Row],[Appointment_Date]],"mmm-yyyy")</f>
        <v>Dec-2025</v>
      </c>
      <c r="J26" s="3">
        <v>45975</v>
      </c>
      <c r="K26" t="s">
        <v>73</v>
      </c>
      <c r="L26" t="s">
        <v>43</v>
      </c>
      <c r="M26" s="4">
        <v>64.2</v>
      </c>
      <c r="N26" t="s">
        <v>24</v>
      </c>
      <c r="O26">
        <f>Patient_data[[#This Row],[Appointment_Date]]-Patient_data[[#This Row],[Booking_Date]]</f>
        <v>31</v>
      </c>
    </row>
    <row r="27" spans="1:15" x14ac:dyDescent="0.25">
      <c r="A27">
        <v>1002</v>
      </c>
      <c r="B27">
        <v>88</v>
      </c>
      <c r="C27" t="s">
        <v>15</v>
      </c>
      <c r="D27" t="s">
        <v>74</v>
      </c>
      <c r="E27" t="s">
        <v>28</v>
      </c>
      <c r="F27" s="3">
        <v>45947</v>
      </c>
      <c r="G27" s="1">
        <f>YEAR(Patient_data[[#This Row],[Appointment_Date]])</f>
        <v>2025</v>
      </c>
      <c r="H27" s="2" t="str">
        <f>TEXT(Patient_data[[#This Row],[Appointment_Date]],"mmmm")</f>
        <v>October</v>
      </c>
      <c r="I27" s="3" t="str">
        <f>TEXT(Patient_data[[#This Row],[Appointment_Date]],"mmm-yyyy")</f>
        <v>Oct-2025</v>
      </c>
      <c r="J27" s="3">
        <v>45801</v>
      </c>
      <c r="K27" t="s">
        <v>75</v>
      </c>
      <c r="L27" t="s">
        <v>30</v>
      </c>
      <c r="M27" s="4">
        <v>68.53</v>
      </c>
      <c r="N27" t="s">
        <v>20</v>
      </c>
      <c r="O27">
        <f>Patient_data[[#This Row],[Appointment_Date]]-Patient_data[[#This Row],[Booking_Date]]</f>
        <v>146</v>
      </c>
    </row>
    <row r="28" spans="1:15" x14ac:dyDescent="0.25">
      <c r="A28">
        <v>1047</v>
      </c>
      <c r="B28">
        <v>87</v>
      </c>
      <c r="C28" t="s">
        <v>15</v>
      </c>
      <c r="D28" t="s">
        <v>76</v>
      </c>
      <c r="E28" t="s">
        <v>17</v>
      </c>
      <c r="F28" s="3">
        <v>45874</v>
      </c>
      <c r="G28" s="1">
        <f>YEAR(Patient_data[[#This Row],[Appointment_Date]])</f>
        <v>2025</v>
      </c>
      <c r="H28" s="2" t="str">
        <f>TEXT(Patient_data[[#This Row],[Appointment_Date]],"mmmm")</f>
        <v>August</v>
      </c>
      <c r="I28" s="3" t="str">
        <f>TEXT(Patient_data[[#This Row],[Appointment_Date]],"mmm-yyyy")</f>
        <v>Aug-2025</v>
      </c>
      <c r="J28" s="3">
        <v>45691</v>
      </c>
      <c r="K28" t="s">
        <v>77</v>
      </c>
      <c r="L28" t="s">
        <v>43</v>
      </c>
      <c r="M28" s="4">
        <v>68.81</v>
      </c>
      <c r="N28" t="s">
        <v>24</v>
      </c>
      <c r="O28">
        <f>Patient_data[[#This Row],[Appointment_Date]]-Patient_data[[#This Row],[Booking_Date]]</f>
        <v>183</v>
      </c>
    </row>
    <row r="29" spans="1:15" x14ac:dyDescent="0.25">
      <c r="A29">
        <v>1002</v>
      </c>
      <c r="B29">
        <v>87</v>
      </c>
      <c r="C29" t="s">
        <v>15</v>
      </c>
      <c r="D29" t="s">
        <v>78</v>
      </c>
      <c r="E29" t="s">
        <v>17</v>
      </c>
      <c r="F29" s="3">
        <v>45755</v>
      </c>
      <c r="G29" s="1">
        <f>YEAR(Patient_data[[#This Row],[Appointment_Date]])</f>
        <v>2025</v>
      </c>
      <c r="H29" s="2" t="str">
        <f>TEXT(Patient_data[[#This Row],[Appointment_Date]],"mmmm")</f>
        <v>April</v>
      </c>
      <c r="I29" s="3" t="str">
        <f>TEXT(Patient_data[[#This Row],[Appointment_Date]],"mmm-yyyy")</f>
        <v>Apr-2025</v>
      </c>
      <c r="J29" s="3">
        <v>45630</v>
      </c>
      <c r="K29" t="s">
        <v>79</v>
      </c>
      <c r="L29" t="s">
        <v>30</v>
      </c>
      <c r="M29" s="4">
        <v>1.55</v>
      </c>
      <c r="N29" t="s">
        <v>24</v>
      </c>
      <c r="O29">
        <f>Patient_data[[#This Row],[Appointment_Date]]-Patient_data[[#This Row],[Booking_Date]]</f>
        <v>125</v>
      </c>
    </row>
    <row r="30" spans="1:15" x14ac:dyDescent="0.25">
      <c r="A30">
        <v>1026</v>
      </c>
      <c r="B30">
        <v>87</v>
      </c>
      <c r="C30" t="s">
        <v>15</v>
      </c>
      <c r="D30" t="s">
        <v>80</v>
      </c>
      <c r="E30" t="s">
        <v>28</v>
      </c>
      <c r="F30" s="3">
        <v>46056</v>
      </c>
      <c r="G30" s="1">
        <f>YEAR(Patient_data[[#This Row],[Appointment_Date]])</f>
        <v>2026</v>
      </c>
      <c r="H30" s="2" t="str">
        <f>TEXT(Patient_data[[#This Row],[Appointment_Date]],"mmmm")</f>
        <v>February</v>
      </c>
      <c r="I30" s="3" t="str">
        <f>TEXT(Patient_data[[#This Row],[Appointment_Date]],"mmm-yyyy")</f>
        <v>Feb-2026</v>
      </c>
      <c r="J30" s="3">
        <v>45850</v>
      </c>
      <c r="K30" t="s">
        <v>81</v>
      </c>
      <c r="L30" t="s">
        <v>19</v>
      </c>
      <c r="M30" s="4">
        <v>46.2</v>
      </c>
      <c r="N30" t="s">
        <v>24</v>
      </c>
      <c r="O30">
        <f>Patient_data[[#This Row],[Appointment_Date]]-Patient_data[[#This Row],[Booking_Date]]</f>
        <v>206</v>
      </c>
    </row>
    <row r="31" spans="1:15" x14ac:dyDescent="0.25">
      <c r="A31">
        <v>1033</v>
      </c>
      <c r="B31">
        <v>87</v>
      </c>
      <c r="C31" t="s">
        <v>15</v>
      </c>
      <c r="D31" t="s">
        <v>82</v>
      </c>
      <c r="E31" t="s">
        <v>28</v>
      </c>
      <c r="F31" s="3">
        <v>45753</v>
      </c>
      <c r="G31" s="1">
        <f>YEAR(Patient_data[[#This Row],[Appointment_Date]])</f>
        <v>2025</v>
      </c>
      <c r="H31" s="2" t="str">
        <f>TEXT(Patient_data[[#This Row],[Appointment_Date]],"mmmm")</f>
        <v>April</v>
      </c>
      <c r="I31" s="3" t="str">
        <f>TEXT(Patient_data[[#This Row],[Appointment_Date]],"mmm-yyyy")</f>
        <v>Apr-2025</v>
      </c>
      <c r="J31" s="3">
        <v>45506</v>
      </c>
      <c r="K31" t="s">
        <v>83</v>
      </c>
      <c r="L31" t="s">
        <v>43</v>
      </c>
      <c r="M31" s="4">
        <v>46.06</v>
      </c>
      <c r="N31" t="s">
        <v>20</v>
      </c>
      <c r="O31">
        <f>Patient_data[[#This Row],[Appointment_Date]]-Patient_data[[#This Row],[Booking_Date]]</f>
        <v>247</v>
      </c>
    </row>
    <row r="32" spans="1:15" x14ac:dyDescent="0.25">
      <c r="A32">
        <v>1026</v>
      </c>
      <c r="B32">
        <v>87</v>
      </c>
      <c r="C32" t="s">
        <v>15</v>
      </c>
      <c r="D32" t="s">
        <v>84</v>
      </c>
      <c r="E32" t="s">
        <v>17</v>
      </c>
      <c r="F32" s="3">
        <v>46059</v>
      </c>
      <c r="G32" s="1">
        <f>YEAR(Patient_data[[#This Row],[Appointment_Date]])</f>
        <v>2026</v>
      </c>
      <c r="H32" s="2" t="str">
        <f>TEXT(Patient_data[[#This Row],[Appointment_Date]],"mmmm")</f>
        <v>February</v>
      </c>
      <c r="I32" s="3" t="str">
        <f>TEXT(Patient_data[[#This Row],[Appointment_Date]],"mmm-yyyy")</f>
        <v>Feb-2026</v>
      </c>
      <c r="J32" s="3">
        <v>45515</v>
      </c>
      <c r="K32" t="s">
        <v>85</v>
      </c>
      <c r="L32" t="s">
        <v>19</v>
      </c>
      <c r="M32" s="4">
        <v>46.44</v>
      </c>
      <c r="N32" t="s">
        <v>24</v>
      </c>
      <c r="O32">
        <f>Patient_data[[#This Row],[Appointment_Date]]-Patient_data[[#This Row],[Booking_Date]]</f>
        <v>544</v>
      </c>
    </row>
    <row r="33" spans="1:15" x14ac:dyDescent="0.25">
      <c r="A33">
        <v>1047</v>
      </c>
      <c r="B33">
        <v>87</v>
      </c>
      <c r="C33" t="s">
        <v>15</v>
      </c>
      <c r="D33" t="s">
        <v>86</v>
      </c>
      <c r="E33" t="s">
        <v>28</v>
      </c>
      <c r="F33" s="3">
        <v>45936</v>
      </c>
      <c r="G33" s="1">
        <f>YEAR(Patient_data[[#This Row],[Appointment_Date]])</f>
        <v>2025</v>
      </c>
      <c r="H33" s="2" t="str">
        <f>TEXT(Patient_data[[#This Row],[Appointment_Date]],"mmmm")</f>
        <v>October</v>
      </c>
      <c r="I33" s="3" t="str">
        <f>TEXT(Patient_data[[#This Row],[Appointment_Date]],"mmm-yyyy")</f>
        <v>Oct-2025</v>
      </c>
      <c r="J33" s="3">
        <v>45628</v>
      </c>
      <c r="K33" t="s">
        <v>87</v>
      </c>
      <c r="L33" t="s">
        <v>23</v>
      </c>
      <c r="M33" s="4">
        <v>35.409999999999997</v>
      </c>
      <c r="N33" t="s">
        <v>20</v>
      </c>
      <c r="O33">
        <f>Patient_data[[#This Row],[Appointment_Date]]-Patient_data[[#This Row],[Booking_Date]]</f>
        <v>308</v>
      </c>
    </row>
    <row r="34" spans="1:15" x14ac:dyDescent="0.25">
      <c r="A34">
        <v>1036</v>
      </c>
      <c r="B34">
        <v>87</v>
      </c>
      <c r="C34" t="s">
        <v>15</v>
      </c>
      <c r="D34" t="s">
        <v>88</v>
      </c>
      <c r="E34" t="s">
        <v>28</v>
      </c>
      <c r="F34" s="3">
        <v>45869</v>
      </c>
      <c r="G34" s="1">
        <f>YEAR(Patient_data[[#This Row],[Appointment_Date]])</f>
        <v>2025</v>
      </c>
      <c r="H34" s="2" t="str">
        <f>TEXT(Patient_data[[#This Row],[Appointment_Date]],"mmmm")</f>
        <v>July</v>
      </c>
      <c r="I34" s="3" t="str">
        <f>TEXT(Patient_data[[#This Row],[Appointment_Date]],"mmm-yyyy")</f>
        <v>Jul-2025</v>
      </c>
      <c r="J34" s="3">
        <v>45598</v>
      </c>
      <c r="K34" t="s">
        <v>89</v>
      </c>
      <c r="L34" t="s">
        <v>30</v>
      </c>
      <c r="M34" s="4">
        <v>69.12</v>
      </c>
      <c r="N34" t="s">
        <v>24</v>
      </c>
      <c r="O34">
        <f>Patient_data[[#This Row],[Appointment_Date]]-Patient_data[[#This Row],[Booking_Date]]</f>
        <v>271</v>
      </c>
    </row>
    <row r="35" spans="1:15" x14ac:dyDescent="0.25">
      <c r="A35">
        <v>1074</v>
      </c>
      <c r="B35">
        <v>87</v>
      </c>
      <c r="C35" t="s">
        <v>15</v>
      </c>
      <c r="D35" t="s">
        <v>90</v>
      </c>
      <c r="E35" t="s">
        <v>17</v>
      </c>
      <c r="F35" s="3">
        <v>45961</v>
      </c>
      <c r="G35" s="1">
        <f>YEAR(Patient_data[[#This Row],[Appointment_Date]])</f>
        <v>2025</v>
      </c>
      <c r="H35" s="2" t="str">
        <f>TEXT(Patient_data[[#This Row],[Appointment_Date]],"mmmm")</f>
        <v>October</v>
      </c>
      <c r="I35" s="3" t="str">
        <f>TEXT(Patient_data[[#This Row],[Appointment_Date]],"mmm-yyyy")</f>
        <v>Oct-2025</v>
      </c>
      <c r="J35" s="3">
        <v>45799</v>
      </c>
      <c r="K35" t="s">
        <v>91</v>
      </c>
      <c r="L35" t="s">
        <v>30</v>
      </c>
      <c r="M35" s="4">
        <v>12.88</v>
      </c>
      <c r="N35" t="s">
        <v>24</v>
      </c>
      <c r="O35">
        <f>Patient_data[[#This Row],[Appointment_Date]]-Patient_data[[#This Row],[Booking_Date]]</f>
        <v>162</v>
      </c>
    </row>
    <row r="36" spans="1:15" x14ac:dyDescent="0.25">
      <c r="A36">
        <v>1093</v>
      </c>
      <c r="B36">
        <v>87</v>
      </c>
      <c r="C36" t="s">
        <v>15</v>
      </c>
      <c r="D36" t="s">
        <v>92</v>
      </c>
      <c r="E36" t="s">
        <v>28</v>
      </c>
      <c r="F36" s="3">
        <v>46044</v>
      </c>
      <c r="G36" s="1">
        <f>YEAR(Patient_data[[#This Row],[Appointment_Date]])</f>
        <v>2026</v>
      </c>
      <c r="H36" s="2" t="str">
        <f>TEXT(Patient_data[[#This Row],[Appointment_Date]],"mmmm")</f>
        <v>January</v>
      </c>
      <c r="I36" s="3" t="str">
        <f>TEXT(Patient_data[[#This Row],[Appointment_Date]],"mmm-yyyy")</f>
        <v>Jan-2026</v>
      </c>
      <c r="J36" s="3">
        <v>45599</v>
      </c>
      <c r="K36" t="s">
        <v>93</v>
      </c>
      <c r="L36" t="s">
        <v>43</v>
      </c>
      <c r="M36" s="4">
        <v>0.76</v>
      </c>
      <c r="N36" t="s">
        <v>20</v>
      </c>
      <c r="O36">
        <f>Patient_data[[#This Row],[Appointment_Date]]-Patient_data[[#This Row],[Booking_Date]]</f>
        <v>445</v>
      </c>
    </row>
    <row r="37" spans="1:15" x14ac:dyDescent="0.25">
      <c r="A37">
        <v>1053</v>
      </c>
      <c r="B37">
        <v>87</v>
      </c>
      <c r="C37" t="s">
        <v>15</v>
      </c>
      <c r="D37" t="s">
        <v>94</v>
      </c>
      <c r="E37" t="s">
        <v>17</v>
      </c>
      <c r="F37" s="3">
        <v>46060</v>
      </c>
      <c r="G37" s="1">
        <f>YEAR(Patient_data[[#This Row],[Appointment_Date]])</f>
        <v>2026</v>
      </c>
      <c r="H37" s="2" t="str">
        <f>TEXT(Patient_data[[#This Row],[Appointment_Date]],"mmmm")</f>
        <v>February</v>
      </c>
      <c r="I37" s="3" t="str">
        <f>TEXT(Patient_data[[#This Row],[Appointment_Date]],"mmm-yyyy")</f>
        <v>Feb-2026</v>
      </c>
      <c r="J37" s="3">
        <v>45484</v>
      </c>
      <c r="K37" t="s">
        <v>95</v>
      </c>
      <c r="L37" t="s">
        <v>43</v>
      </c>
      <c r="M37" s="4">
        <v>49.74</v>
      </c>
      <c r="N37" t="s">
        <v>24</v>
      </c>
      <c r="O37">
        <f>Patient_data[[#This Row],[Appointment_Date]]-Patient_data[[#This Row],[Booking_Date]]</f>
        <v>576</v>
      </c>
    </row>
    <row r="38" spans="1:15" x14ac:dyDescent="0.25">
      <c r="A38">
        <v>1094</v>
      </c>
      <c r="B38">
        <v>87</v>
      </c>
      <c r="C38" t="s">
        <v>15</v>
      </c>
      <c r="D38" t="s">
        <v>96</v>
      </c>
      <c r="E38" t="s">
        <v>17</v>
      </c>
      <c r="F38" s="3">
        <v>45952</v>
      </c>
      <c r="G38" s="1">
        <f>YEAR(Patient_data[[#This Row],[Appointment_Date]])</f>
        <v>2025</v>
      </c>
      <c r="H38" s="2" t="str">
        <f>TEXT(Patient_data[[#This Row],[Appointment_Date]],"mmmm")</f>
        <v>October</v>
      </c>
      <c r="I38" s="3" t="str">
        <f>TEXT(Patient_data[[#This Row],[Appointment_Date]],"mmm-yyyy")</f>
        <v>Oct-2025</v>
      </c>
      <c r="J38" s="3">
        <v>45716</v>
      </c>
      <c r="K38" t="s">
        <v>97</v>
      </c>
      <c r="L38" t="s">
        <v>30</v>
      </c>
      <c r="M38" s="4">
        <v>2.16</v>
      </c>
      <c r="N38" t="s">
        <v>24</v>
      </c>
      <c r="O38">
        <f>Patient_data[[#This Row],[Appointment_Date]]-Patient_data[[#This Row],[Booking_Date]]</f>
        <v>236</v>
      </c>
    </row>
    <row r="39" spans="1:15" x14ac:dyDescent="0.25">
      <c r="A39">
        <v>1016</v>
      </c>
      <c r="B39">
        <v>87</v>
      </c>
      <c r="C39" t="s">
        <v>15</v>
      </c>
      <c r="D39" t="s">
        <v>98</v>
      </c>
      <c r="E39" t="s">
        <v>28</v>
      </c>
      <c r="F39" s="3">
        <v>46046</v>
      </c>
      <c r="G39" s="1">
        <f>YEAR(Patient_data[[#This Row],[Appointment_Date]])</f>
        <v>2026</v>
      </c>
      <c r="H39" s="2" t="str">
        <f>TEXT(Patient_data[[#This Row],[Appointment_Date]],"mmmm")</f>
        <v>January</v>
      </c>
      <c r="I39" s="3" t="str">
        <f>TEXT(Patient_data[[#This Row],[Appointment_Date]],"mmm-yyyy")</f>
        <v>Jan-2026</v>
      </c>
      <c r="J39" s="3">
        <v>45635</v>
      </c>
      <c r="K39" t="s">
        <v>99</v>
      </c>
      <c r="L39" t="s">
        <v>23</v>
      </c>
      <c r="M39" s="4">
        <v>461.32</v>
      </c>
      <c r="N39" t="s">
        <v>24</v>
      </c>
      <c r="O39">
        <f>Patient_data[[#This Row],[Appointment_Date]]-Patient_data[[#This Row],[Booking_Date]]</f>
        <v>411</v>
      </c>
    </row>
    <row r="40" spans="1:15" x14ac:dyDescent="0.25">
      <c r="A40">
        <v>1098</v>
      </c>
      <c r="B40">
        <v>87</v>
      </c>
      <c r="C40" t="s">
        <v>15</v>
      </c>
      <c r="D40" t="s">
        <v>100</v>
      </c>
      <c r="E40" t="s">
        <v>17</v>
      </c>
      <c r="F40" s="3">
        <v>45840</v>
      </c>
      <c r="G40" s="1">
        <f>YEAR(Patient_data[[#This Row],[Appointment_Date]])</f>
        <v>2025</v>
      </c>
      <c r="H40" s="2" t="str">
        <f>TEXT(Patient_data[[#This Row],[Appointment_Date]],"mmmm")</f>
        <v>July</v>
      </c>
      <c r="I40" s="3" t="str">
        <f>TEXT(Patient_data[[#This Row],[Appointment_Date]],"mmm-yyyy")</f>
        <v>Jul-2025</v>
      </c>
      <c r="J40" s="3">
        <v>45621</v>
      </c>
      <c r="K40" t="s">
        <v>101</v>
      </c>
      <c r="L40" t="s">
        <v>43</v>
      </c>
      <c r="M40" s="4">
        <v>19.41</v>
      </c>
      <c r="N40" t="s">
        <v>20</v>
      </c>
      <c r="O40">
        <f>Patient_data[[#This Row],[Appointment_Date]]-Patient_data[[#This Row],[Booking_Date]]</f>
        <v>219</v>
      </c>
    </row>
    <row r="41" spans="1:15" x14ac:dyDescent="0.25">
      <c r="A41">
        <v>1084</v>
      </c>
      <c r="B41">
        <v>86</v>
      </c>
      <c r="C41" t="s">
        <v>15</v>
      </c>
      <c r="D41" t="s">
        <v>102</v>
      </c>
      <c r="E41" t="s">
        <v>17</v>
      </c>
      <c r="F41" s="3">
        <v>46089</v>
      </c>
      <c r="G41" s="1">
        <f>YEAR(Patient_data[[#This Row],[Appointment_Date]])</f>
        <v>2026</v>
      </c>
      <c r="H41" s="2" t="str">
        <f>TEXT(Patient_data[[#This Row],[Appointment_Date]],"mmmm")</f>
        <v>March</v>
      </c>
      <c r="I41" s="3" t="str">
        <f>TEXT(Patient_data[[#This Row],[Appointment_Date]],"mmm-yyyy")</f>
        <v>Mar-2026</v>
      </c>
      <c r="J41" s="3">
        <v>45482</v>
      </c>
      <c r="K41" t="s">
        <v>103</v>
      </c>
      <c r="L41" t="s">
        <v>19</v>
      </c>
      <c r="M41" s="4">
        <v>160.38</v>
      </c>
      <c r="N41" t="s">
        <v>24</v>
      </c>
      <c r="O41">
        <f>Patient_data[[#This Row],[Appointment_Date]]-Patient_data[[#This Row],[Booking_Date]]</f>
        <v>607</v>
      </c>
    </row>
    <row r="42" spans="1:15" x14ac:dyDescent="0.25">
      <c r="A42">
        <v>1095</v>
      </c>
      <c r="B42">
        <v>86</v>
      </c>
      <c r="C42" t="s">
        <v>15</v>
      </c>
      <c r="D42" t="s">
        <v>104</v>
      </c>
      <c r="E42" t="s">
        <v>28</v>
      </c>
      <c r="F42" s="3">
        <v>45952</v>
      </c>
      <c r="G42" s="1">
        <f>YEAR(Patient_data[[#This Row],[Appointment_Date]])</f>
        <v>2025</v>
      </c>
      <c r="H42" s="2" t="str">
        <f>TEXT(Patient_data[[#This Row],[Appointment_Date]],"mmmm")</f>
        <v>October</v>
      </c>
      <c r="I42" s="3" t="str">
        <f>TEXT(Patient_data[[#This Row],[Appointment_Date]],"mmm-yyyy")</f>
        <v>Oct-2025</v>
      </c>
      <c r="J42" s="3">
        <v>45857</v>
      </c>
      <c r="K42" t="s">
        <v>105</v>
      </c>
      <c r="L42" t="s">
        <v>43</v>
      </c>
      <c r="M42" s="4">
        <v>168.18</v>
      </c>
      <c r="N42" t="s">
        <v>24</v>
      </c>
      <c r="O42">
        <f>Patient_data[[#This Row],[Appointment_Date]]-Patient_data[[#This Row],[Booking_Date]]</f>
        <v>95</v>
      </c>
    </row>
    <row r="43" spans="1:15" x14ac:dyDescent="0.25">
      <c r="A43">
        <v>1081</v>
      </c>
      <c r="B43">
        <v>86</v>
      </c>
      <c r="C43" t="s">
        <v>15</v>
      </c>
      <c r="D43" t="s">
        <v>106</v>
      </c>
      <c r="E43" t="s">
        <v>28</v>
      </c>
      <c r="F43" s="3">
        <v>45861</v>
      </c>
      <c r="G43" s="1">
        <f>YEAR(Patient_data[[#This Row],[Appointment_Date]])</f>
        <v>2025</v>
      </c>
      <c r="H43" s="2" t="str">
        <f>TEXT(Patient_data[[#This Row],[Appointment_Date]],"mmmm")</f>
        <v>July</v>
      </c>
      <c r="I43" s="3" t="str">
        <f>TEXT(Patient_data[[#This Row],[Appointment_Date]],"mmm-yyyy")</f>
        <v>Jul-2025</v>
      </c>
      <c r="J43" s="3">
        <v>45769</v>
      </c>
      <c r="K43" t="s">
        <v>107</v>
      </c>
      <c r="L43" t="s">
        <v>23</v>
      </c>
      <c r="M43" s="4">
        <v>58.12</v>
      </c>
      <c r="N43" t="s">
        <v>20</v>
      </c>
      <c r="O43">
        <f>Patient_data[[#This Row],[Appointment_Date]]-Patient_data[[#This Row],[Booking_Date]]</f>
        <v>92</v>
      </c>
    </row>
    <row r="44" spans="1:15" x14ac:dyDescent="0.25">
      <c r="A44">
        <v>1066</v>
      </c>
      <c r="B44">
        <v>86</v>
      </c>
      <c r="C44" t="s">
        <v>15</v>
      </c>
      <c r="D44" t="s">
        <v>108</v>
      </c>
      <c r="E44" t="s">
        <v>28</v>
      </c>
      <c r="F44" s="3">
        <v>46071</v>
      </c>
      <c r="G44" s="1">
        <f>YEAR(Patient_data[[#This Row],[Appointment_Date]])</f>
        <v>2026</v>
      </c>
      <c r="H44" s="2" t="str">
        <f>TEXT(Patient_data[[#This Row],[Appointment_Date]],"mmmm")</f>
        <v>February</v>
      </c>
      <c r="I44" s="3" t="str">
        <f>TEXT(Patient_data[[#This Row],[Appointment_Date]],"mmm-yyyy")</f>
        <v>Feb-2026</v>
      </c>
      <c r="J44" s="3">
        <v>45577</v>
      </c>
      <c r="K44" t="s">
        <v>109</v>
      </c>
      <c r="L44" t="s">
        <v>30</v>
      </c>
      <c r="M44" s="4">
        <v>76.989999999999995</v>
      </c>
      <c r="N44" t="s">
        <v>24</v>
      </c>
      <c r="O44">
        <f>Patient_data[[#This Row],[Appointment_Date]]-Patient_data[[#This Row],[Booking_Date]]</f>
        <v>494</v>
      </c>
    </row>
    <row r="45" spans="1:15" x14ac:dyDescent="0.25">
      <c r="A45">
        <v>1026</v>
      </c>
      <c r="B45">
        <v>86</v>
      </c>
      <c r="C45" t="s">
        <v>15</v>
      </c>
      <c r="D45" t="s">
        <v>110</v>
      </c>
      <c r="E45" t="s">
        <v>28</v>
      </c>
      <c r="F45" s="3">
        <v>46008</v>
      </c>
      <c r="G45" s="1">
        <f>YEAR(Patient_data[[#This Row],[Appointment_Date]])</f>
        <v>2025</v>
      </c>
      <c r="H45" s="2" t="str">
        <f>TEXT(Patient_data[[#This Row],[Appointment_Date]],"mmmm")</f>
        <v>December</v>
      </c>
      <c r="I45" s="3" t="str">
        <f>TEXT(Patient_data[[#This Row],[Appointment_Date]],"mmm-yyyy")</f>
        <v>Dec-2025</v>
      </c>
      <c r="J45" s="3">
        <v>45919</v>
      </c>
      <c r="K45" t="s">
        <v>111</v>
      </c>
      <c r="L45" t="s">
        <v>43</v>
      </c>
      <c r="M45" s="4">
        <v>30.37</v>
      </c>
      <c r="N45" t="s">
        <v>20</v>
      </c>
      <c r="O45">
        <f>Patient_data[[#This Row],[Appointment_Date]]-Patient_data[[#This Row],[Booking_Date]]</f>
        <v>89</v>
      </c>
    </row>
    <row r="46" spans="1:15" x14ac:dyDescent="0.25">
      <c r="A46">
        <v>1024</v>
      </c>
      <c r="B46">
        <v>86</v>
      </c>
      <c r="C46" t="s">
        <v>15</v>
      </c>
      <c r="D46" t="s">
        <v>112</v>
      </c>
      <c r="E46" t="s">
        <v>28</v>
      </c>
      <c r="F46" s="3">
        <v>46070</v>
      </c>
      <c r="G46" s="1">
        <f>YEAR(Patient_data[[#This Row],[Appointment_Date]])</f>
        <v>2026</v>
      </c>
      <c r="H46" s="2" t="str">
        <f>TEXT(Patient_data[[#This Row],[Appointment_Date]],"mmmm")</f>
        <v>February</v>
      </c>
      <c r="I46" s="3" t="str">
        <f>TEXT(Patient_data[[#This Row],[Appointment_Date]],"mmm-yyyy")</f>
        <v>Feb-2026</v>
      </c>
      <c r="J46" s="3">
        <v>46037</v>
      </c>
      <c r="K46" t="s">
        <v>113</v>
      </c>
      <c r="L46" t="s">
        <v>43</v>
      </c>
      <c r="M46" s="4">
        <v>89.64</v>
      </c>
      <c r="N46" t="s">
        <v>24</v>
      </c>
      <c r="O46">
        <f>Patient_data[[#This Row],[Appointment_Date]]-Patient_data[[#This Row],[Booking_Date]]</f>
        <v>33</v>
      </c>
    </row>
    <row r="47" spans="1:15" x14ac:dyDescent="0.25">
      <c r="A47">
        <v>1015</v>
      </c>
      <c r="B47">
        <v>86</v>
      </c>
      <c r="C47" t="s">
        <v>15</v>
      </c>
      <c r="D47" t="s">
        <v>114</v>
      </c>
      <c r="E47" t="s">
        <v>28</v>
      </c>
      <c r="F47" s="3">
        <v>45882</v>
      </c>
      <c r="G47" s="1">
        <f>YEAR(Patient_data[[#This Row],[Appointment_Date]])</f>
        <v>2025</v>
      </c>
      <c r="H47" s="2" t="str">
        <f>TEXT(Patient_data[[#This Row],[Appointment_Date]],"mmmm")</f>
        <v>August</v>
      </c>
      <c r="I47" s="3" t="str">
        <f>TEXT(Patient_data[[#This Row],[Appointment_Date]],"mmm-yyyy")</f>
        <v>Aug-2025</v>
      </c>
      <c r="J47" s="3">
        <v>45556</v>
      </c>
      <c r="K47" t="s">
        <v>115</v>
      </c>
      <c r="L47" t="s">
        <v>30</v>
      </c>
      <c r="M47" s="4">
        <v>459.41</v>
      </c>
      <c r="N47" t="s">
        <v>24</v>
      </c>
      <c r="O47">
        <f>Patient_data[[#This Row],[Appointment_Date]]-Patient_data[[#This Row],[Booking_Date]]</f>
        <v>326</v>
      </c>
    </row>
    <row r="48" spans="1:15" x14ac:dyDescent="0.25">
      <c r="A48">
        <v>1013</v>
      </c>
      <c r="B48">
        <v>86</v>
      </c>
      <c r="C48" t="s">
        <v>15</v>
      </c>
      <c r="D48" t="s">
        <v>116</v>
      </c>
      <c r="E48" t="s">
        <v>17</v>
      </c>
      <c r="F48" s="3">
        <v>45907</v>
      </c>
      <c r="G48" s="1">
        <f>YEAR(Patient_data[[#This Row],[Appointment_Date]])</f>
        <v>2025</v>
      </c>
      <c r="H48" s="2" t="str">
        <f>TEXT(Patient_data[[#This Row],[Appointment_Date]],"mmmm")</f>
        <v>September</v>
      </c>
      <c r="I48" s="3" t="str">
        <f>TEXT(Patient_data[[#This Row],[Appointment_Date]],"mmm-yyyy")</f>
        <v>Sep-2025</v>
      </c>
      <c r="J48" s="3">
        <v>45668</v>
      </c>
      <c r="K48" t="s">
        <v>117</v>
      </c>
      <c r="L48" t="s">
        <v>19</v>
      </c>
      <c r="M48" s="4">
        <v>55.9</v>
      </c>
      <c r="N48" t="s">
        <v>20</v>
      </c>
      <c r="O48">
        <f>Patient_data[[#This Row],[Appointment_Date]]-Patient_data[[#This Row],[Booking_Date]]</f>
        <v>239</v>
      </c>
    </row>
    <row r="49" spans="1:15" x14ac:dyDescent="0.25">
      <c r="A49">
        <v>1091</v>
      </c>
      <c r="B49">
        <v>86</v>
      </c>
      <c r="C49" t="s">
        <v>15</v>
      </c>
      <c r="D49" t="s">
        <v>118</v>
      </c>
      <c r="E49" t="s">
        <v>17</v>
      </c>
      <c r="F49" s="3">
        <v>46014</v>
      </c>
      <c r="G49" s="1">
        <f>YEAR(Patient_data[[#This Row],[Appointment_Date]])</f>
        <v>2025</v>
      </c>
      <c r="H49" s="2" t="str">
        <f>TEXT(Patient_data[[#This Row],[Appointment_Date]],"mmmm")</f>
        <v>December</v>
      </c>
      <c r="I49" s="3" t="str">
        <f>TEXT(Patient_data[[#This Row],[Appointment_Date]],"mmm-yyyy")</f>
        <v>Dec-2025</v>
      </c>
      <c r="J49" s="3">
        <v>45620</v>
      </c>
      <c r="K49" t="s">
        <v>119</v>
      </c>
      <c r="L49" t="s">
        <v>23</v>
      </c>
      <c r="M49" s="4">
        <v>491.64</v>
      </c>
      <c r="N49" t="s">
        <v>20</v>
      </c>
      <c r="O49">
        <f>Patient_data[[#This Row],[Appointment_Date]]-Patient_data[[#This Row],[Booking_Date]]</f>
        <v>394</v>
      </c>
    </row>
    <row r="50" spans="1:15" x14ac:dyDescent="0.25">
      <c r="A50">
        <v>1017</v>
      </c>
      <c r="B50">
        <v>86</v>
      </c>
      <c r="C50" t="s">
        <v>15</v>
      </c>
      <c r="D50" t="s">
        <v>120</v>
      </c>
      <c r="E50" t="s">
        <v>17</v>
      </c>
      <c r="F50" s="3">
        <v>46062</v>
      </c>
      <c r="G50" s="1">
        <f>YEAR(Patient_data[[#This Row],[Appointment_Date]])</f>
        <v>2026</v>
      </c>
      <c r="H50" s="2" t="str">
        <f>TEXT(Patient_data[[#This Row],[Appointment_Date]],"mmmm")</f>
        <v>February</v>
      </c>
      <c r="I50" s="3" t="str">
        <f>TEXT(Patient_data[[#This Row],[Appointment_Date]],"mmm-yyyy")</f>
        <v>Feb-2026</v>
      </c>
      <c r="J50" s="3">
        <v>46043</v>
      </c>
      <c r="K50" t="s">
        <v>121</v>
      </c>
      <c r="L50" t="s">
        <v>19</v>
      </c>
      <c r="M50" s="4">
        <v>69.3</v>
      </c>
      <c r="N50" t="s">
        <v>20</v>
      </c>
      <c r="O50">
        <f>Patient_data[[#This Row],[Appointment_Date]]-Patient_data[[#This Row],[Booking_Date]]</f>
        <v>19</v>
      </c>
    </row>
    <row r="51" spans="1:15" x14ac:dyDescent="0.25">
      <c r="A51">
        <v>1057</v>
      </c>
      <c r="B51">
        <v>86</v>
      </c>
      <c r="C51" t="s">
        <v>15</v>
      </c>
      <c r="D51" t="s">
        <v>122</v>
      </c>
      <c r="E51" t="s">
        <v>17</v>
      </c>
      <c r="F51" s="3">
        <v>45819</v>
      </c>
      <c r="G51" s="1">
        <f>YEAR(Patient_data[[#This Row],[Appointment_Date]])</f>
        <v>2025</v>
      </c>
      <c r="H51" s="2" t="str">
        <f>TEXT(Patient_data[[#This Row],[Appointment_Date]],"mmmm")</f>
        <v>June</v>
      </c>
      <c r="I51" s="3" t="str">
        <f>TEXT(Patient_data[[#This Row],[Appointment_Date]],"mmm-yyyy")</f>
        <v>Jun-2025</v>
      </c>
      <c r="J51" s="3">
        <v>45563</v>
      </c>
      <c r="K51" t="s">
        <v>123</v>
      </c>
      <c r="L51" t="s">
        <v>43</v>
      </c>
      <c r="M51" s="4">
        <v>54.91</v>
      </c>
      <c r="N51" t="s">
        <v>20</v>
      </c>
      <c r="O51">
        <f>Patient_data[[#This Row],[Appointment_Date]]-Patient_data[[#This Row],[Booking_Date]]</f>
        <v>256</v>
      </c>
    </row>
    <row r="52" spans="1:15" x14ac:dyDescent="0.25">
      <c r="A52">
        <v>1086</v>
      </c>
      <c r="B52">
        <v>86</v>
      </c>
      <c r="C52" t="s">
        <v>15</v>
      </c>
      <c r="D52" t="s">
        <v>124</v>
      </c>
      <c r="E52" t="s">
        <v>28</v>
      </c>
      <c r="F52" s="3">
        <v>45872</v>
      </c>
      <c r="G52" s="1">
        <f>YEAR(Patient_data[[#This Row],[Appointment_Date]])</f>
        <v>2025</v>
      </c>
      <c r="H52" s="2" t="str">
        <f>TEXT(Patient_data[[#This Row],[Appointment_Date]],"mmmm")</f>
        <v>August</v>
      </c>
      <c r="I52" s="3" t="str">
        <f>TEXT(Patient_data[[#This Row],[Appointment_Date]],"mmm-yyyy")</f>
        <v>Aug-2025</v>
      </c>
      <c r="J52" s="3">
        <v>45707</v>
      </c>
      <c r="K52" t="s">
        <v>125</v>
      </c>
      <c r="L52" t="s">
        <v>43</v>
      </c>
      <c r="M52" s="4">
        <v>38.43</v>
      </c>
      <c r="N52" t="s">
        <v>24</v>
      </c>
      <c r="O52">
        <f>Patient_data[[#This Row],[Appointment_Date]]-Patient_data[[#This Row],[Booking_Date]]</f>
        <v>165</v>
      </c>
    </row>
    <row r="53" spans="1:15" x14ac:dyDescent="0.25">
      <c r="A53">
        <v>1072</v>
      </c>
      <c r="B53">
        <v>86</v>
      </c>
      <c r="C53" t="s">
        <v>15</v>
      </c>
      <c r="D53" t="s">
        <v>126</v>
      </c>
      <c r="E53" t="s">
        <v>28</v>
      </c>
      <c r="F53" s="3">
        <v>45842</v>
      </c>
      <c r="G53" s="1">
        <f>YEAR(Patient_data[[#This Row],[Appointment_Date]])</f>
        <v>2025</v>
      </c>
      <c r="H53" s="2" t="str">
        <f>TEXT(Patient_data[[#This Row],[Appointment_Date]],"mmmm")</f>
        <v>July</v>
      </c>
      <c r="I53" s="3" t="str">
        <f>TEXT(Patient_data[[#This Row],[Appointment_Date]],"mmm-yyyy")</f>
        <v>Jul-2025</v>
      </c>
      <c r="J53" s="3">
        <v>45676</v>
      </c>
      <c r="K53" t="s">
        <v>127</v>
      </c>
      <c r="L53" t="s">
        <v>43</v>
      </c>
      <c r="M53" s="4">
        <v>4.84</v>
      </c>
      <c r="N53" t="s">
        <v>24</v>
      </c>
      <c r="O53">
        <f>Patient_data[[#This Row],[Appointment_Date]]-Patient_data[[#This Row],[Booking_Date]]</f>
        <v>166</v>
      </c>
    </row>
    <row r="54" spans="1:15" x14ac:dyDescent="0.25">
      <c r="A54">
        <v>1053</v>
      </c>
      <c r="B54">
        <v>86</v>
      </c>
      <c r="C54" t="s">
        <v>15</v>
      </c>
      <c r="D54" t="s">
        <v>128</v>
      </c>
      <c r="E54" t="s">
        <v>17</v>
      </c>
      <c r="F54" s="3">
        <v>45943</v>
      </c>
      <c r="G54" s="1">
        <f>YEAR(Patient_data[[#This Row],[Appointment_Date]])</f>
        <v>2025</v>
      </c>
      <c r="H54" s="2" t="str">
        <f>TEXT(Patient_data[[#This Row],[Appointment_Date]],"mmmm")</f>
        <v>October</v>
      </c>
      <c r="I54" s="3" t="str">
        <f>TEXT(Patient_data[[#This Row],[Appointment_Date]],"mmm-yyyy")</f>
        <v>Oct-2025</v>
      </c>
      <c r="J54" s="3">
        <v>45516</v>
      </c>
      <c r="K54" t="s">
        <v>129</v>
      </c>
      <c r="L54" t="s">
        <v>23</v>
      </c>
      <c r="M54" s="4">
        <v>5.53</v>
      </c>
      <c r="N54" t="s">
        <v>24</v>
      </c>
      <c r="O54">
        <f>Patient_data[[#This Row],[Appointment_Date]]-Patient_data[[#This Row],[Booking_Date]]</f>
        <v>427</v>
      </c>
    </row>
    <row r="55" spans="1:15" x14ac:dyDescent="0.25">
      <c r="A55">
        <v>1070</v>
      </c>
      <c r="B55">
        <v>85</v>
      </c>
      <c r="C55" t="s">
        <v>15</v>
      </c>
      <c r="D55" t="s">
        <v>130</v>
      </c>
      <c r="E55" t="s">
        <v>28</v>
      </c>
      <c r="F55" s="3">
        <v>45910</v>
      </c>
      <c r="G55" s="1">
        <f>YEAR(Patient_data[[#This Row],[Appointment_Date]])</f>
        <v>2025</v>
      </c>
      <c r="H55" s="2" t="str">
        <f>TEXT(Patient_data[[#This Row],[Appointment_Date]],"mmmm")</f>
        <v>September</v>
      </c>
      <c r="I55" s="3" t="str">
        <f>TEXT(Patient_data[[#This Row],[Appointment_Date]],"mmm-yyyy")</f>
        <v>Sep-2025</v>
      </c>
      <c r="J55" s="3">
        <v>45524</v>
      </c>
      <c r="K55" t="s">
        <v>131</v>
      </c>
      <c r="L55" t="s">
        <v>19</v>
      </c>
      <c r="M55" s="4">
        <v>85.52</v>
      </c>
      <c r="N55" t="s">
        <v>20</v>
      </c>
      <c r="O55">
        <f>Patient_data[[#This Row],[Appointment_Date]]-Patient_data[[#This Row],[Booking_Date]]</f>
        <v>386</v>
      </c>
    </row>
    <row r="56" spans="1:15" x14ac:dyDescent="0.25">
      <c r="A56">
        <v>1067</v>
      </c>
      <c r="B56">
        <v>85</v>
      </c>
      <c r="C56" t="s">
        <v>15</v>
      </c>
      <c r="D56" t="s">
        <v>132</v>
      </c>
      <c r="E56" t="s">
        <v>17</v>
      </c>
      <c r="F56" s="3">
        <v>45955</v>
      </c>
      <c r="G56" s="1">
        <f>YEAR(Patient_data[[#This Row],[Appointment_Date]])</f>
        <v>2025</v>
      </c>
      <c r="H56" s="2" t="str">
        <f>TEXT(Patient_data[[#This Row],[Appointment_Date]],"mmmm")</f>
        <v>October</v>
      </c>
      <c r="I56" s="3" t="str">
        <f>TEXT(Patient_data[[#This Row],[Appointment_Date]],"mmm-yyyy")</f>
        <v>Oct-2025</v>
      </c>
      <c r="J56" s="3">
        <v>45709</v>
      </c>
      <c r="K56" t="s">
        <v>133</v>
      </c>
      <c r="L56" t="s">
        <v>43</v>
      </c>
      <c r="M56" s="4">
        <v>85.63</v>
      </c>
      <c r="N56" t="s">
        <v>24</v>
      </c>
      <c r="O56">
        <f>Patient_data[[#This Row],[Appointment_Date]]-Patient_data[[#This Row],[Booking_Date]]</f>
        <v>246</v>
      </c>
    </row>
    <row r="57" spans="1:15" x14ac:dyDescent="0.25">
      <c r="A57">
        <v>1000</v>
      </c>
      <c r="B57">
        <v>85</v>
      </c>
      <c r="C57" t="s">
        <v>15</v>
      </c>
      <c r="D57" t="s">
        <v>134</v>
      </c>
      <c r="E57" t="s">
        <v>17</v>
      </c>
      <c r="F57" s="3">
        <v>45823</v>
      </c>
      <c r="G57" s="1">
        <f>YEAR(Patient_data[[#This Row],[Appointment_Date]])</f>
        <v>2025</v>
      </c>
      <c r="H57" s="2" t="str">
        <f>TEXT(Patient_data[[#This Row],[Appointment_Date]],"mmmm")</f>
        <v>June</v>
      </c>
      <c r="I57" s="3" t="str">
        <f>TEXT(Patient_data[[#This Row],[Appointment_Date]],"mmm-yyyy")</f>
        <v>Jun-2025</v>
      </c>
      <c r="J57" s="3">
        <v>45476</v>
      </c>
      <c r="K57" t="s">
        <v>135</v>
      </c>
      <c r="L57" t="s">
        <v>19</v>
      </c>
      <c r="M57" s="4">
        <v>61.32</v>
      </c>
      <c r="N57" t="s">
        <v>20</v>
      </c>
      <c r="O57">
        <f>Patient_data[[#This Row],[Appointment_Date]]-Patient_data[[#This Row],[Booking_Date]]</f>
        <v>347</v>
      </c>
    </row>
    <row r="58" spans="1:15" x14ac:dyDescent="0.25">
      <c r="A58">
        <v>1078</v>
      </c>
      <c r="B58">
        <v>85</v>
      </c>
      <c r="C58" t="s">
        <v>15</v>
      </c>
      <c r="D58" t="s">
        <v>136</v>
      </c>
      <c r="E58" t="s">
        <v>28</v>
      </c>
      <c r="F58" s="3">
        <v>45858</v>
      </c>
      <c r="G58" s="1">
        <f>YEAR(Patient_data[[#This Row],[Appointment_Date]])</f>
        <v>2025</v>
      </c>
      <c r="H58" s="2" t="str">
        <f>TEXT(Patient_data[[#This Row],[Appointment_Date]],"mmmm")</f>
        <v>July</v>
      </c>
      <c r="I58" s="3" t="str">
        <f>TEXT(Patient_data[[#This Row],[Appointment_Date]],"mmm-yyyy")</f>
        <v>Jul-2025</v>
      </c>
      <c r="J58" s="3">
        <v>45623</v>
      </c>
      <c r="K58" t="s">
        <v>137</v>
      </c>
      <c r="L58" t="s">
        <v>23</v>
      </c>
      <c r="M58" s="4">
        <v>99.55</v>
      </c>
      <c r="N58" t="s">
        <v>20</v>
      </c>
      <c r="O58">
        <f>Patient_data[[#This Row],[Appointment_Date]]-Patient_data[[#This Row],[Booking_Date]]</f>
        <v>235</v>
      </c>
    </row>
    <row r="59" spans="1:15" x14ac:dyDescent="0.25">
      <c r="A59">
        <v>1066</v>
      </c>
      <c r="B59">
        <v>85</v>
      </c>
      <c r="C59" t="s">
        <v>15</v>
      </c>
      <c r="D59" t="s">
        <v>138</v>
      </c>
      <c r="E59" t="s">
        <v>28</v>
      </c>
      <c r="F59" s="3">
        <v>46000</v>
      </c>
      <c r="G59" s="1">
        <f>YEAR(Patient_data[[#This Row],[Appointment_Date]])</f>
        <v>2025</v>
      </c>
      <c r="H59" s="2" t="str">
        <f>TEXT(Patient_data[[#This Row],[Appointment_Date]],"mmmm")</f>
        <v>December</v>
      </c>
      <c r="I59" s="3" t="str">
        <f>TEXT(Patient_data[[#This Row],[Appointment_Date]],"mmm-yyyy")</f>
        <v>Dec-2025</v>
      </c>
      <c r="J59" s="3">
        <v>45687</v>
      </c>
      <c r="K59" t="s">
        <v>139</v>
      </c>
      <c r="L59" t="s">
        <v>23</v>
      </c>
      <c r="M59" s="4">
        <v>498.26</v>
      </c>
      <c r="N59" t="s">
        <v>24</v>
      </c>
      <c r="O59">
        <f>Patient_data[[#This Row],[Appointment_Date]]-Patient_data[[#This Row],[Booking_Date]]</f>
        <v>313</v>
      </c>
    </row>
    <row r="60" spans="1:15" x14ac:dyDescent="0.25">
      <c r="A60">
        <v>1099</v>
      </c>
      <c r="B60">
        <v>85</v>
      </c>
      <c r="C60" t="s">
        <v>15</v>
      </c>
      <c r="D60" t="s">
        <v>140</v>
      </c>
      <c r="E60" t="s">
        <v>17</v>
      </c>
      <c r="F60" s="3">
        <v>45950</v>
      </c>
      <c r="G60" s="1">
        <f>YEAR(Patient_data[[#This Row],[Appointment_Date]])</f>
        <v>2025</v>
      </c>
      <c r="H60" s="2" t="str">
        <f>TEXT(Patient_data[[#This Row],[Appointment_Date]],"mmmm")</f>
        <v>October</v>
      </c>
      <c r="I60" s="3" t="str">
        <f>TEXT(Patient_data[[#This Row],[Appointment_Date]],"mmm-yyyy")</f>
        <v>Oct-2025</v>
      </c>
      <c r="J60" s="3">
        <v>45879</v>
      </c>
      <c r="K60" t="s">
        <v>141</v>
      </c>
      <c r="L60" t="s">
        <v>19</v>
      </c>
      <c r="M60" s="4">
        <v>26.64</v>
      </c>
      <c r="N60" t="s">
        <v>24</v>
      </c>
      <c r="O60">
        <f>Patient_data[[#This Row],[Appointment_Date]]-Patient_data[[#This Row],[Booking_Date]]</f>
        <v>71</v>
      </c>
    </row>
    <row r="61" spans="1:15" x14ac:dyDescent="0.25">
      <c r="A61">
        <v>1091</v>
      </c>
      <c r="B61">
        <v>85</v>
      </c>
      <c r="C61" t="s">
        <v>15</v>
      </c>
      <c r="D61" t="s">
        <v>142</v>
      </c>
      <c r="E61" t="s">
        <v>28</v>
      </c>
      <c r="F61" s="3">
        <v>45745</v>
      </c>
      <c r="G61" s="1">
        <f>YEAR(Patient_data[[#This Row],[Appointment_Date]])</f>
        <v>2025</v>
      </c>
      <c r="H61" s="2" t="str">
        <f>TEXT(Patient_data[[#This Row],[Appointment_Date]],"mmmm")</f>
        <v>March</v>
      </c>
      <c r="I61" s="3" t="str">
        <f>TEXT(Patient_data[[#This Row],[Appointment_Date]],"mmm-yyyy")</f>
        <v>Mar-2025</v>
      </c>
      <c r="J61" s="3">
        <v>45723</v>
      </c>
      <c r="K61" t="s">
        <v>143</v>
      </c>
      <c r="L61" t="s">
        <v>30</v>
      </c>
      <c r="M61" s="4">
        <v>51.02</v>
      </c>
      <c r="N61" t="s">
        <v>20</v>
      </c>
      <c r="O61">
        <f>Patient_data[[#This Row],[Appointment_Date]]-Patient_data[[#This Row],[Booking_Date]]</f>
        <v>22</v>
      </c>
    </row>
    <row r="62" spans="1:15" x14ac:dyDescent="0.25">
      <c r="A62">
        <v>1079</v>
      </c>
      <c r="B62">
        <v>85</v>
      </c>
      <c r="C62" t="s">
        <v>15</v>
      </c>
      <c r="D62" t="s">
        <v>144</v>
      </c>
      <c r="E62" t="s">
        <v>28</v>
      </c>
      <c r="F62" s="3">
        <v>46101</v>
      </c>
      <c r="G62" s="1">
        <f>YEAR(Patient_data[[#This Row],[Appointment_Date]])</f>
        <v>2026</v>
      </c>
      <c r="H62" s="2" t="str">
        <f>TEXT(Patient_data[[#This Row],[Appointment_Date]],"mmmm")</f>
        <v>March</v>
      </c>
      <c r="I62" s="3" t="str">
        <f>TEXT(Patient_data[[#This Row],[Appointment_Date]],"mmm-yyyy")</f>
        <v>Mar-2026</v>
      </c>
      <c r="J62" s="3">
        <v>45938</v>
      </c>
      <c r="K62" t="s">
        <v>145</v>
      </c>
      <c r="L62" t="s">
        <v>43</v>
      </c>
      <c r="M62" s="4">
        <v>85.56</v>
      </c>
      <c r="N62" t="s">
        <v>20</v>
      </c>
      <c r="O62">
        <f>Patient_data[[#This Row],[Appointment_Date]]-Patient_data[[#This Row],[Booking_Date]]</f>
        <v>163</v>
      </c>
    </row>
    <row r="63" spans="1:15" x14ac:dyDescent="0.25">
      <c r="A63">
        <v>1090</v>
      </c>
      <c r="B63">
        <v>85</v>
      </c>
      <c r="C63" t="s">
        <v>15</v>
      </c>
      <c r="D63" t="s">
        <v>146</v>
      </c>
      <c r="E63" t="s">
        <v>17</v>
      </c>
      <c r="F63" s="3">
        <v>46042</v>
      </c>
      <c r="G63" s="1">
        <f>YEAR(Patient_data[[#This Row],[Appointment_Date]])</f>
        <v>2026</v>
      </c>
      <c r="H63" s="2" t="str">
        <f>TEXT(Patient_data[[#This Row],[Appointment_Date]],"mmmm")</f>
        <v>January</v>
      </c>
      <c r="I63" s="3" t="str">
        <f>TEXT(Patient_data[[#This Row],[Appointment_Date]],"mmm-yyyy")</f>
        <v>Jan-2026</v>
      </c>
      <c r="J63" s="3">
        <v>45726</v>
      </c>
      <c r="K63" t="s">
        <v>147</v>
      </c>
      <c r="L63" t="s">
        <v>19</v>
      </c>
      <c r="M63" s="4">
        <v>92.87</v>
      </c>
      <c r="N63" t="s">
        <v>20</v>
      </c>
      <c r="O63">
        <f>Patient_data[[#This Row],[Appointment_Date]]-Patient_data[[#This Row],[Booking_Date]]</f>
        <v>316</v>
      </c>
    </row>
    <row r="64" spans="1:15" x14ac:dyDescent="0.25">
      <c r="A64">
        <v>1003</v>
      </c>
      <c r="B64">
        <v>85</v>
      </c>
      <c r="C64" t="s">
        <v>15</v>
      </c>
      <c r="D64" t="s">
        <v>148</v>
      </c>
      <c r="E64" t="s">
        <v>28</v>
      </c>
      <c r="F64" s="3">
        <v>45868</v>
      </c>
      <c r="G64" s="1">
        <f>YEAR(Patient_data[[#This Row],[Appointment_Date]])</f>
        <v>2025</v>
      </c>
      <c r="H64" s="2" t="str">
        <f>TEXT(Patient_data[[#This Row],[Appointment_Date]],"mmmm")</f>
        <v>July</v>
      </c>
      <c r="I64" s="3" t="str">
        <f>TEXT(Patient_data[[#This Row],[Appointment_Date]],"mmm-yyyy")</f>
        <v>Jul-2025</v>
      </c>
      <c r="J64" s="3">
        <v>45579</v>
      </c>
      <c r="K64" t="s">
        <v>149</v>
      </c>
      <c r="L64" t="s">
        <v>30</v>
      </c>
      <c r="M64" s="4">
        <v>1.59</v>
      </c>
      <c r="N64" t="s">
        <v>24</v>
      </c>
      <c r="O64">
        <f>Patient_data[[#This Row],[Appointment_Date]]-Patient_data[[#This Row],[Booking_Date]]</f>
        <v>289</v>
      </c>
    </row>
    <row r="65" spans="1:15" x14ac:dyDescent="0.25">
      <c r="A65">
        <v>1085</v>
      </c>
      <c r="B65">
        <v>85</v>
      </c>
      <c r="C65" t="s">
        <v>15</v>
      </c>
      <c r="D65" t="s">
        <v>150</v>
      </c>
      <c r="E65" t="s">
        <v>28</v>
      </c>
      <c r="F65" s="3">
        <v>45906</v>
      </c>
      <c r="G65" s="1">
        <f>YEAR(Patient_data[[#This Row],[Appointment_Date]])</f>
        <v>2025</v>
      </c>
      <c r="H65" s="2" t="str">
        <f>TEXT(Patient_data[[#This Row],[Appointment_Date]],"mmmm")</f>
        <v>September</v>
      </c>
      <c r="I65" s="3" t="str">
        <f>TEXT(Patient_data[[#This Row],[Appointment_Date]],"mmm-yyyy")</f>
        <v>Sep-2025</v>
      </c>
      <c r="J65" s="3">
        <v>45715</v>
      </c>
      <c r="K65" t="s">
        <v>151</v>
      </c>
      <c r="L65" t="s">
        <v>19</v>
      </c>
      <c r="M65" s="4">
        <v>19.920000000000002</v>
      </c>
      <c r="N65" t="s">
        <v>24</v>
      </c>
      <c r="O65">
        <f>Patient_data[[#This Row],[Appointment_Date]]-Patient_data[[#This Row],[Booking_Date]]</f>
        <v>191</v>
      </c>
    </row>
    <row r="66" spans="1:15" x14ac:dyDescent="0.25">
      <c r="A66">
        <v>1062</v>
      </c>
      <c r="B66">
        <v>85</v>
      </c>
      <c r="C66" t="s">
        <v>15</v>
      </c>
      <c r="D66" t="s">
        <v>152</v>
      </c>
      <c r="E66" t="s">
        <v>28</v>
      </c>
      <c r="F66" s="3">
        <v>46057</v>
      </c>
      <c r="G66" s="1">
        <f>YEAR(Patient_data[[#This Row],[Appointment_Date]])</f>
        <v>2026</v>
      </c>
      <c r="H66" s="2" t="str">
        <f>TEXT(Patient_data[[#This Row],[Appointment_Date]],"mmmm")</f>
        <v>February</v>
      </c>
      <c r="I66" s="3" t="str">
        <f>TEXT(Patient_data[[#This Row],[Appointment_Date]],"mmm-yyyy")</f>
        <v>Feb-2026</v>
      </c>
      <c r="J66" s="3">
        <v>45648</v>
      </c>
      <c r="K66" t="s">
        <v>153</v>
      </c>
      <c r="L66" t="s">
        <v>30</v>
      </c>
      <c r="M66" s="4">
        <v>206.57</v>
      </c>
      <c r="N66" t="s">
        <v>24</v>
      </c>
      <c r="O66">
        <f>Patient_data[[#This Row],[Appointment_Date]]-Patient_data[[#This Row],[Booking_Date]]</f>
        <v>409</v>
      </c>
    </row>
    <row r="67" spans="1:15" x14ac:dyDescent="0.25">
      <c r="A67">
        <v>1075</v>
      </c>
      <c r="B67">
        <v>85</v>
      </c>
      <c r="C67" t="s">
        <v>15</v>
      </c>
      <c r="D67" t="s">
        <v>154</v>
      </c>
      <c r="E67" t="s">
        <v>17</v>
      </c>
      <c r="F67" s="3">
        <v>46090</v>
      </c>
      <c r="G67" s="1">
        <f>YEAR(Patient_data[[#This Row],[Appointment_Date]])</f>
        <v>2026</v>
      </c>
      <c r="H67" s="2" t="str">
        <f>TEXT(Patient_data[[#This Row],[Appointment_Date]],"mmmm")</f>
        <v>March</v>
      </c>
      <c r="I67" s="3" t="str">
        <f>TEXT(Patient_data[[#This Row],[Appointment_Date]],"mmm-yyyy")</f>
        <v>Mar-2026</v>
      </c>
      <c r="J67" s="3">
        <v>45734</v>
      </c>
      <c r="K67" t="s">
        <v>155</v>
      </c>
      <c r="L67" t="s">
        <v>19</v>
      </c>
      <c r="M67" s="4">
        <v>54.23</v>
      </c>
      <c r="N67" t="s">
        <v>20</v>
      </c>
      <c r="O67">
        <f>Patient_data[[#This Row],[Appointment_Date]]-Patient_data[[#This Row],[Booking_Date]]</f>
        <v>356</v>
      </c>
    </row>
    <row r="68" spans="1:15" x14ac:dyDescent="0.25">
      <c r="A68">
        <v>1085</v>
      </c>
      <c r="B68">
        <v>85</v>
      </c>
      <c r="C68" t="s">
        <v>15</v>
      </c>
      <c r="D68" t="s">
        <v>156</v>
      </c>
      <c r="E68" t="s">
        <v>17</v>
      </c>
      <c r="F68" s="3">
        <v>46031</v>
      </c>
      <c r="G68" s="1">
        <f>YEAR(Patient_data[[#This Row],[Appointment_Date]])</f>
        <v>2026</v>
      </c>
      <c r="H68" s="2" t="str">
        <f>TEXT(Patient_data[[#This Row],[Appointment_Date]],"mmmm")</f>
        <v>January</v>
      </c>
      <c r="I68" s="3" t="str">
        <f>TEXT(Patient_data[[#This Row],[Appointment_Date]],"mmm-yyyy")</f>
        <v>Jan-2026</v>
      </c>
      <c r="J68" s="3">
        <v>45780</v>
      </c>
      <c r="K68" t="s">
        <v>157</v>
      </c>
      <c r="L68" t="s">
        <v>30</v>
      </c>
      <c r="M68" s="4">
        <v>13.17</v>
      </c>
      <c r="N68" t="s">
        <v>20</v>
      </c>
      <c r="O68">
        <f>Patient_data[[#This Row],[Appointment_Date]]-Patient_data[[#This Row],[Booking_Date]]</f>
        <v>251</v>
      </c>
    </row>
    <row r="69" spans="1:15" x14ac:dyDescent="0.25">
      <c r="A69">
        <v>1060</v>
      </c>
      <c r="B69">
        <v>85</v>
      </c>
      <c r="C69" t="s">
        <v>15</v>
      </c>
      <c r="D69" t="s">
        <v>158</v>
      </c>
      <c r="E69" t="s">
        <v>28</v>
      </c>
      <c r="F69" s="3">
        <v>45919</v>
      </c>
      <c r="G69" s="1">
        <f>YEAR(Patient_data[[#This Row],[Appointment_Date]])</f>
        <v>2025</v>
      </c>
      <c r="H69" s="2" t="str">
        <f>TEXT(Patient_data[[#This Row],[Appointment_Date]],"mmmm")</f>
        <v>September</v>
      </c>
      <c r="I69" s="3" t="str">
        <f>TEXT(Patient_data[[#This Row],[Appointment_Date]],"mmm-yyyy")</f>
        <v>Sep-2025</v>
      </c>
      <c r="J69" s="3">
        <v>45916</v>
      </c>
      <c r="K69" t="s">
        <v>159</v>
      </c>
      <c r="L69" t="s">
        <v>30</v>
      </c>
      <c r="M69" s="4">
        <v>61.54</v>
      </c>
      <c r="N69" t="s">
        <v>24</v>
      </c>
      <c r="O69">
        <f>Patient_data[[#This Row],[Appointment_Date]]-Patient_data[[#This Row],[Booking_Date]]</f>
        <v>3</v>
      </c>
    </row>
    <row r="70" spans="1:15" x14ac:dyDescent="0.25">
      <c r="A70">
        <v>1052</v>
      </c>
      <c r="B70">
        <v>84</v>
      </c>
      <c r="C70" t="s">
        <v>15</v>
      </c>
      <c r="D70" t="s">
        <v>160</v>
      </c>
      <c r="E70" t="s">
        <v>17</v>
      </c>
      <c r="F70" s="3">
        <v>45908</v>
      </c>
      <c r="G70" s="1">
        <f>YEAR(Patient_data[[#This Row],[Appointment_Date]])</f>
        <v>2025</v>
      </c>
      <c r="H70" s="2" t="str">
        <f>TEXT(Patient_data[[#This Row],[Appointment_Date]],"mmmm")</f>
        <v>September</v>
      </c>
      <c r="I70" s="3" t="str">
        <f>TEXT(Patient_data[[#This Row],[Appointment_Date]],"mmm-yyyy")</f>
        <v>Sep-2025</v>
      </c>
      <c r="J70" s="3">
        <v>45793</v>
      </c>
      <c r="K70" t="s">
        <v>161</v>
      </c>
      <c r="L70" t="s">
        <v>43</v>
      </c>
      <c r="M70" s="4">
        <v>175.63</v>
      </c>
      <c r="N70" t="s">
        <v>20</v>
      </c>
      <c r="O70">
        <f>Patient_data[[#This Row],[Appointment_Date]]-Patient_data[[#This Row],[Booking_Date]]</f>
        <v>115</v>
      </c>
    </row>
    <row r="71" spans="1:15" x14ac:dyDescent="0.25">
      <c r="A71">
        <v>1095</v>
      </c>
      <c r="B71">
        <v>84</v>
      </c>
      <c r="C71" t="s">
        <v>15</v>
      </c>
      <c r="D71" t="s">
        <v>162</v>
      </c>
      <c r="E71" t="s">
        <v>28</v>
      </c>
      <c r="F71" s="3">
        <v>46068</v>
      </c>
      <c r="G71" s="1">
        <f>YEAR(Patient_data[[#This Row],[Appointment_Date]])</f>
        <v>2026</v>
      </c>
      <c r="H71" s="2" t="str">
        <f>TEXT(Patient_data[[#This Row],[Appointment_Date]],"mmmm")</f>
        <v>February</v>
      </c>
      <c r="I71" s="3" t="str">
        <f>TEXT(Patient_data[[#This Row],[Appointment_Date]],"mmm-yyyy")</f>
        <v>Feb-2026</v>
      </c>
      <c r="J71" s="3">
        <v>45982</v>
      </c>
      <c r="K71" t="s">
        <v>163</v>
      </c>
      <c r="L71" t="s">
        <v>43</v>
      </c>
      <c r="M71" s="4">
        <v>58.38</v>
      </c>
      <c r="N71" t="s">
        <v>24</v>
      </c>
      <c r="O71">
        <f>Patient_data[[#This Row],[Appointment_Date]]-Patient_data[[#This Row],[Booking_Date]]</f>
        <v>86</v>
      </c>
    </row>
    <row r="72" spans="1:15" x14ac:dyDescent="0.25">
      <c r="A72">
        <v>1058</v>
      </c>
      <c r="B72">
        <v>84</v>
      </c>
      <c r="C72" t="s">
        <v>15</v>
      </c>
      <c r="D72" t="s">
        <v>164</v>
      </c>
      <c r="E72" t="s">
        <v>28</v>
      </c>
      <c r="F72" s="3">
        <v>45954</v>
      </c>
      <c r="G72" s="1">
        <f>YEAR(Patient_data[[#This Row],[Appointment_Date]])</f>
        <v>2025</v>
      </c>
      <c r="H72" s="2" t="str">
        <f>TEXT(Patient_data[[#This Row],[Appointment_Date]],"mmmm")</f>
        <v>October</v>
      </c>
      <c r="I72" s="3" t="str">
        <f>TEXT(Patient_data[[#This Row],[Appointment_Date]],"mmm-yyyy")</f>
        <v>Oct-2025</v>
      </c>
      <c r="J72" s="3">
        <v>45743</v>
      </c>
      <c r="K72" t="s">
        <v>165</v>
      </c>
      <c r="L72" t="s">
        <v>19</v>
      </c>
      <c r="M72" s="4">
        <v>96.57</v>
      </c>
      <c r="N72" t="s">
        <v>24</v>
      </c>
      <c r="O72">
        <f>Patient_data[[#This Row],[Appointment_Date]]-Patient_data[[#This Row],[Booking_Date]]</f>
        <v>211</v>
      </c>
    </row>
    <row r="73" spans="1:15" x14ac:dyDescent="0.25">
      <c r="A73">
        <v>1086</v>
      </c>
      <c r="B73">
        <v>84</v>
      </c>
      <c r="C73" t="s">
        <v>15</v>
      </c>
      <c r="D73" t="s">
        <v>166</v>
      </c>
      <c r="E73" t="s">
        <v>28</v>
      </c>
      <c r="F73" s="3">
        <v>46015</v>
      </c>
      <c r="G73" s="1">
        <f>YEAR(Patient_data[[#This Row],[Appointment_Date]])</f>
        <v>2025</v>
      </c>
      <c r="H73" s="2" t="str">
        <f>TEXT(Patient_data[[#This Row],[Appointment_Date]],"mmmm")</f>
        <v>December</v>
      </c>
      <c r="I73" s="3" t="str">
        <f>TEXT(Patient_data[[#This Row],[Appointment_Date]],"mmm-yyyy")</f>
        <v>Dec-2025</v>
      </c>
      <c r="J73" s="3">
        <v>45534</v>
      </c>
      <c r="K73" t="s">
        <v>167</v>
      </c>
      <c r="L73" t="s">
        <v>23</v>
      </c>
      <c r="M73" s="4">
        <v>2.66</v>
      </c>
      <c r="N73" t="s">
        <v>24</v>
      </c>
      <c r="O73">
        <f>Patient_data[[#This Row],[Appointment_Date]]-Patient_data[[#This Row],[Booking_Date]]</f>
        <v>481</v>
      </c>
    </row>
    <row r="74" spans="1:15" x14ac:dyDescent="0.25">
      <c r="A74">
        <v>1059</v>
      </c>
      <c r="B74">
        <v>84</v>
      </c>
      <c r="C74" t="s">
        <v>15</v>
      </c>
      <c r="D74" t="s">
        <v>168</v>
      </c>
      <c r="E74" t="s">
        <v>28</v>
      </c>
      <c r="F74" s="3">
        <v>46097</v>
      </c>
      <c r="G74" s="1">
        <f>YEAR(Patient_data[[#This Row],[Appointment_Date]])</f>
        <v>2026</v>
      </c>
      <c r="H74" s="2" t="str">
        <f>TEXT(Patient_data[[#This Row],[Appointment_Date]],"mmmm")</f>
        <v>March</v>
      </c>
      <c r="I74" s="3" t="str">
        <f>TEXT(Patient_data[[#This Row],[Appointment_Date]],"mmm-yyyy")</f>
        <v>Mar-2026</v>
      </c>
      <c r="J74" s="3">
        <v>45630</v>
      </c>
      <c r="K74" t="s">
        <v>169</v>
      </c>
      <c r="L74" t="s">
        <v>19</v>
      </c>
      <c r="M74" s="4">
        <v>44.68</v>
      </c>
      <c r="N74" t="s">
        <v>24</v>
      </c>
      <c r="O74">
        <f>Patient_data[[#This Row],[Appointment_Date]]-Patient_data[[#This Row],[Booking_Date]]</f>
        <v>467</v>
      </c>
    </row>
    <row r="75" spans="1:15" x14ac:dyDescent="0.25">
      <c r="A75">
        <v>1084</v>
      </c>
      <c r="B75">
        <v>84</v>
      </c>
      <c r="C75" t="s">
        <v>15</v>
      </c>
      <c r="D75" t="s">
        <v>170</v>
      </c>
      <c r="E75" t="s">
        <v>17</v>
      </c>
      <c r="F75" s="3">
        <v>45801</v>
      </c>
      <c r="G75" s="1">
        <f>YEAR(Patient_data[[#This Row],[Appointment_Date]])</f>
        <v>2025</v>
      </c>
      <c r="H75" s="2" t="str">
        <f>TEXT(Patient_data[[#This Row],[Appointment_Date]],"mmmm")</f>
        <v>May</v>
      </c>
      <c r="I75" s="3" t="str">
        <f>TEXT(Patient_data[[#This Row],[Appointment_Date]],"mmm-yyyy")</f>
        <v>May-2025</v>
      </c>
      <c r="J75" s="3">
        <v>45422</v>
      </c>
      <c r="K75" t="s">
        <v>171</v>
      </c>
      <c r="L75" t="s">
        <v>23</v>
      </c>
      <c r="M75" s="4">
        <v>347.94</v>
      </c>
      <c r="N75" t="s">
        <v>24</v>
      </c>
      <c r="O75">
        <f>Patient_data[[#This Row],[Appointment_Date]]-Patient_data[[#This Row],[Booking_Date]]</f>
        <v>379</v>
      </c>
    </row>
    <row r="76" spans="1:15" x14ac:dyDescent="0.25">
      <c r="A76">
        <v>1017</v>
      </c>
      <c r="B76">
        <v>84</v>
      </c>
      <c r="C76" t="s">
        <v>15</v>
      </c>
      <c r="D76" t="s">
        <v>172</v>
      </c>
      <c r="E76" t="s">
        <v>28</v>
      </c>
      <c r="F76" s="3">
        <v>46058</v>
      </c>
      <c r="G76" s="1">
        <f>YEAR(Patient_data[[#This Row],[Appointment_Date]])</f>
        <v>2026</v>
      </c>
      <c r="H76" s="2" t="str">
        <f>TEXT(Patient_data[[#This Row],[Appointment_Date]],"mmmm")</f>
        <v>February</v>
      </c>
      <c r="I76" s="3" t="str">
        <f>TEXT(Patient_data[[#This Row],[Appointment_Date]],"mmm-yyyy")</f>
        <v>Feb-2026</v>
      </c>
      <c r="J76" s="3">
        <v>45440</v>
      </c>
      <c r="K76" t="s">
        <v>173</v>
      </c>
      <c r="L76" t="s">
        <v>43</v>
      </c>
      <c r="M76" s="4">
        <v>91.19</v>
      </c>
      <c r="N76" t="s">
        <v>20</v>
      </c>
      <c r="O76">
        <f>Patient_data[[#This Row],[Appointment_Date]]-Patient_data[[#This Row],[Booking_Date]]</f>
        <v>618</v>
      </c>
    </row>
    <row r="77" spans="1:15" x14ac:dyDescent="0.25">
      <c r="A77">
        <v>1035</v>
      </c>
      <c r="B77">
        <v>84</v>
      </c>
      <c r="C77" t="s">
        <v>15</v>
      </c>
      <c r="D77" t="s">
        <v>174</v>
      </c>
      <c r="E77" t="s">
        <v>17</v>
      </c>
      <c r="F77" s="3">
        <v>45939</v>
      </c>
      <c r="G77" s="1">
        <f>YEAR(Patient_data[[#This Row],[Appointment_Date]])</f>
        <v>2025</v>
      </c>
      <c r="H77" s="2" t="str">
        <f>TEXT(Patient_data[[#This Row],[Appointment_Date]],"mmmm")</f>
        <v>October</v>
      </c>
      <c r="I77" s="3" t="str">
        <f>TEXT(Patient_data[[#This Row],[Appointment_Date]],"mmm-yyyy")</f>
        <v>Oct-2025</v>
      </c>
      <c r="J77" s="3">
        <v>45787</v>
      </c>
      <c r="K77" t="s">
        <v>175</v>
      </c>
      <c r="L77" t="s">
        <v>43</v>
      </c>
      <c r="M77" s="4">
        <v>4.87</v>
      </c>
      <c r="N77" t="s">
        <v>20</v>
      </c>
      <c r="O77">
        <f>Patient_data[[#This Row],[Appointment_Date]]-Patient_data[[#This Row],[Booking_Date]]</f>
        <v>152</v>
      </c>
    </row>
    <row r="78" spans="1:15" x14ac:dyDescent="0.25">
      <c r="A78">
        <v>1005</v>
      </c>
      <c r="B78">
        <v>84</v>
      </c>
      <c r="C78" t="s">
        <v>15</v>
      </c>
      <c r="D78" t="s">
        <v>176</v>
      </c>
      <c r="E78" t="s">
        <v>28</v>
      </c>
      <c r="F78" s="3">
        <v>46027</v>
      </c>
      <c r="G78" s="1">
        <f>YEAR(Patient_data[[#This Row],[Appointment_Date]])</f>
        <v>2026</v>
      </c>
      <c r="H78" s="2" t="str">
        <f>TEXT(Patient_data[[#This Row],[Appointment_Date]],"mmmm")</f>
        <v>January</v>
      </c>
      <c r="I78" s="3" t="str">
        <f>TEXT(Patient_data[[#This Row],[Appointment_Date]],"mmm-yyyy")</f>
        <v>Jan-2026</v>
      </c>
      <c r="J78" s="3">
        <v>45849</v>
      </c>
      <c r="K78" t="s">
        <v>177</v>
      </c>
      <c r="L78" t="s">
        <v>30</v>
      </c>
      <c r="M78" s="4">
        <v>499.36</v>
      </c>
      <c r="N78" t="s">
        <v>20</v>
      </c>
      <c r="O78">
        <f>Patient_data[[#This Row],[Appointment_Date]]-Patient_data[[#This Row],[Booking_Date]]</f>
        <v>178</v>
      </c>
    </row>
    <row r="79" spans="1:15" x14ac:dyDescent="0.25">
      <c r="A79">
        <v>1015</v>
      </c>
      <c r="B79">
        <v>84</v>
      </c>
      <c r="C79" t="s">
        <v>15</v>
      </c>
      <c r="D79" t="s">
        <v>178</v>
      </c>
      <c r="E79" t="s">
        <v>17</v>
      </c>
      <c r="F79" s="3">
        <v>46106</v>
      </c>
      <c r="G79" s="1">
        <f>YEAR(Patient_data[[#This Row],[Appointment_Date]])</f>
        <v>2026</v>
      </c>
      <c r="H79" s="2" t="str">
        <f>TEXT(Patient_data[[#This Row],[Appointment_Date]],"mmmm")</f>
        <v>March</v>
      </c>
      <c r="I79" s="3" t="str">
        <f>TEXT(Patient_data[[#This Row],[Appointment_Date]],"mmm-yyyy")</f>
        <v>Mar-2026</v>
      </c>
      <c r="J79" s="3">
        <v>45900</v>
      </c>
      <c r="K79" t="s">
        <v>179</v>
      </c>
      <c r="L79" t="s">
        <v>30</v>
      </c>
      <c r="M79" s="4">
        <v>353.35</v>
      </c>
      <c r="N79" t="s">
        <v>24</v>
      </c>
      <c r="O79">
        <f>Patient_data[[#This Row],[Appointment_Date]]-Patient_data[[#This Row],[Booking_Date]]</f>
        <v>206</v>
      </c>
    </row>
    <row r="80" spans="1:15" x14ac:dyDescent="0.25">
      <c r="A80">
        <v>1073</v>
      </c>
      <c r="B80">
        <v>84</v>
      </c>
      <c r="C80" t="s">
        <v>15</v>
      </c>
      <c r="D80" t="s">
        <v>180</v>
      </c>
      <c r="E80" t="s">
        <v>17</v>
      </c>
      <c r="F80" s="3">
        <v>45929</v>
      </c>
      <c r="G80" s="1">
        <f>YEAR(Patient_data[[#This Row],[Appointment_Date]])</f>
        <v>2025</v>
      </c>
      <c r="H80" s="2" t="str">
        <f>TEXT(Patient_data[[#This Row],[Appointment_Date]],"mmmm")</f>
        <v>September</v>
      </c>
      <c r="I80" s="3" t="str">
        <f>TEXT(Patient_data[[#This Row],[Appointment_Date]],"mmm-yyyy")</f>
        <v>Sep-2025</v>
      </c>
      <c r="J80" s="3">
        <v>45467</v>
      </c>
      <c r="K80" t="s">
        <v>181</v>
      </c>
      <c r="L80" t="s">
        <v>19</v>
      </c>
      <c r="M80" s="4">
        <v>77.08</v>
      </c>
      <c r="N80" t="s">
        <v>20</v>
      </c>
      <c r="O80">
        <f>Patient_data[[#This Row],[Appointment_Date]]-Patient_data[[#This Row],[Booking_Date]]</f>
        <v>462</v>
      </c>
    </row>
    <row r="81" spans="1:15" x14ac:dyDescent="0.25">
      <c r="A81">
        <v>1062</v>
      </c>
      <c r="B81">
        <v>84</v>
      </c>
      <c r="C81" t="s">
        <v>15</v>
      </c>
      <c r="D81" t="s">
        <v>182</v>
      </c>
      <c r="E81" t="s">
        <v>28</v>
      </c>
      <c r="F81" s="3">
        <v>45896</v>
      </c>
      <c r="G81" s="1">
        <f>YEAR(Patient_data[[#This Row],[Appointment_Date]])</f>
        <v>2025</v>
      </c>
      <c r="H81" s="2" t="str">
        <f>TEXT(Patient_data[[#This Row],[Appointment_Date]],"mmmm")</f>
        <v>August</v>
      </c>
      <c r="I81" s="3" t="str">
        <f>TEXT(Patient_data[[#This Row],[Appointment_Date]],"mmm-yyyy")</f>
        <v>Aug-2025</v>
      </c>
      <c r="J81" s="3">
        <v>45445</v>
      </c>
      <c r="K81" t="s">
        <v>183</v>
      </c>
      <c r="L81" t="s">
        <v>30</v>
      </c>
      <c r="M81" s="4">
        <v>190.01</v>
      </c>
      <c r="N81" t="s">
        <v>20</v>
      </c>
      <c r="O81">
        <f>Patient_data[[#This Row],[Appointment_Date]]-Patient_data[[#This Row],[Booking_Date]]</f>
        <v>451</v>
      </c>
    </row>
    <row r="82" spans="1:15" x14ac:dyDescent="0.25">
      <c r="A82">
        <v>1001</v>
      </c>
      <c r="B82">
        <v>84</v>
      </c>
      <c r="C82" t="s">
        <v>15</v>
      </c>
      <c r="D82" t="s">
        <v>184</v>
      </c>
      <c r="E82" t="s">
        <v>17</v>
      </c>
      <c r="F82" s="3">
        <v>46065</v>
      </c>
      <c r="G82" s="1">
        <f>YEAR(Patient_data[[#This Row],[Appointment_Date]])</f>
        <v>2026</v>
      </c>
      <c r="H82" s="2" t="str">
        <f>TEXT(Patient_data[[#This Row],[Appointment_Date]],"mmmm")</f>
        <v>February</v>
      </c>
      <c r="I82" s="3" t="str">
        <f>TEXT(Patient_data[[#This Row],[Appointment_Date]],"mmm-yyyy")</f>
        <v>Feb-2026</v>
      </c>
      <c r="J82" s="3">
        <v>45464</v>
      </c>
      <c r="K82" t="s">
        <v>185</v>
      </c>
      <c r="L82" t="s">
        <v>30</v>
      </c>
      <c r="M82" s="4">
        <v>39.93</v>
      </c>
      <c r="N82" t="s">
        <v>20</v>
      </c>
      <c r="O82">
        <f>Patient_data[[#This Row],[Appointment_Date]]-Patient_data[[#This Row],[Booking_Date]]</f>
        <v>601</v>
      </c>
    </row>
    <row r="83" spans="1:15" x14ac:dyDescent="0.25">
      <c r="A83">
        <v>1056</v>
      </c>
      <c r="B83">
        <v>84</v>
      </c>
      <c r="C83" t="s">
        <v>15</v>
      </c>
      <c r="D83" t="s">
        <v>186</v>
      </c>
      <c r="E83" t="s">
        <v>28</v>
      </c>
      <c r="F83" s="3">
        <v>45803</v>
      </c>
      <c r="G83" s="1">
        <f>YEAR(Patient_data[[#This Row],[Appointment_Date]])</f>
        <v>2025</v>
      </c>
      <c r="H83" s="2" t="str">
        <f>TEXT(Patient_data[[#This Row],[Appointment_Date]],"mmmm")</f>
        <v>May</v>
      </c>
      <c r="I83" s="3" t="str">
        <f>TEXT(Patient_data[[#This Row],[Appointment_Date]],"mmm-yyyy")</f>
        <v>May-2025</v>
      </c>
      <c r="J83" s="3">
        <v>45596</v>
      </c>
      <c r="K83" t="s">
        <v>187</v>
      </c>
      <c r="L83" t="s">
        <v>30</v>
      </c>
      <c r="M83" s="4">
        <v>85.01</v>
      </c>
      <c r="N83" t="s">
        <v>20</v>
      </c>
      <c r="O83">
        <f>Patient_data[[#This Row],[Appointment_Date]]-Patient_data[[#This Row],[Booking_Date]]</f>
        <v>207</v>
      </c>
    </row>
    <row r="84" spans="1:15" x14ac:dyDescent="0.25">
      <c r="A84">
        <v>1025</v>
      </c>
      <c r="B84">
        <v>84</v>
      </c>
      <c r="C84" t="s">
        <v>15</v>
      </c>
      <c r="D84" t="s">
        <v>188</v>
      </c>
      <c r="E84" t="s">
        <v>28</v>
      </c>
      <c r="F84" s="3">
        <v>45926</v>
      </c>
      <c r="G84" s="1">
        <f>YEAR(Patient_data[[#This Row],[Appointment_Date]])</f>
        <v>2025</v>
      </c>
      <c r="H84" s="2" t="str">
        <f>TEXT(Patient_data[[#This Row],[Appointment_Date]],"mmmm")</f>
        <v>September</v>
      </c>
      <c r="I84" s="3" t="str">
        <f>TEXT(Patient_data[[#This Row],[Appointment_Date]],"mmm-yyyy")</f>
        <v>Sep-2025</v>
      </c>
      <c r="J84" s="3">
        <v>45824</v>
      </c>
      <c r="K84" t="s">
        <v>189</v>
      </c>
      <c r="L84" t="s">
        <v>19</v>
      </c>
      <c r="M84" s="4">
        <v>26.84</v>
      </c>
      <c r="N84" t="s">
        <v>24</v>
      </c>
      <c r="O84">
        <f>Patient_data[[#This Row],[Appointment_Date]]-Patient_data[[#This Row],[Booking_Date]]</f>
        <v>102</v>
      </c>
    </row>
    <row r="85" spans="1:15" x14ac:dyDescent="0.25">
      <c r="A85">
        <v>1049</v>
      </c>
      <c r="B85">
        <v>84</v>
      </c>
      <c r="C85" t="s">
        <v>15</v>
      </c>
      <c r="D85" t="s">
        <v>190</v>
      </c>
      <c r="E85" t="s">
        <v>17</v>
      </c>
      <c r="F85" s="3">
        <v>46017</v>
      </c>
      <c r="G85" s="1">
        <f>YEAR(Patient_data[[#This Row],[Appointment_Date]])</f>
        <v>2025</v>
      </c>
      <c r="H85" s="2" t="str">
        <f>TEXT(Patient_data[[#This Row],[Appointment_Date]],"mmmm")</f>
        <v>December</v>
      </c>
      <c r="I85" s="3" t="str">
        <f>TEXT(Patient_data[[#This Row],[Appointment_Date]],"mmm-yyyy")</f>
        <v>Dec-2025</v>
      </c>
      <c r="J85" s="3">
        <v>45876</v>
      </c>
      <c r="K85" t="s">
        <v>191</v>
      </c>
      <c r="L85" t="s">
        <v>30</v>
      </c>
      <c r="M85" s="4">
        <v>59.17</v>
      </c>
      <c r="N85" t="s">
        <v>24</v>
      </c>
      <c r="O85">
        <f>Patient_data[[#This Row],[Appointment_Date]]-Patient_data[[#This Row],[Booking_Date]]</f>
        <v>141</v>
      </c>
    </row>
    <row r="86" spans="1:15" x14ac:dyDescent="0.25">
      <c r="A86">
        <v>1058</v>
      </c>
      <c r="B86">
        <v>83</v>
      </c>
      <c r="C86" t="s">
        <v>15</v>
      </c>
      <c r="D86" t="s">
        <v>192</v>
      </c>
      <c r="E86" t="s">
        <v>28</v>
      </c>
      <c r="F86" s="3">
        <v>46009</v>
      </c>
      <c r="G86" s="1">
        <f>YEAR(Patient_data[[#This Row],[Appointment_Date]])</f>
        <v>2025</v>
      </c>
      <c r="H86" s="2" t="str">
        <f>TEXT(Patient_data[[#This Row],[Appointment_Date]],"mmmm")</f>
        <v>December</v>
      </c>
      <c r="I86" s="3" t="str">
        <f>TEXT(Patient_data[[#This Row],[Appointment_Date]],"mmm-yyyy")</f>
        <v>Dec-2025</v>
      </c>
      <c r="J86" s="3">
        <v>45768</v>
      </c>
      <c r="K86" t="s">
        <v>193</v>
      </c>
      <c r="L86" t="s">
        <v>19</v>
      </c>
      <c r="M86" s="4">
        <v>15.46</v>
      </c>
      <c r="N86" t="s">
        <v>24</v>
      </c>
      <c r="O86">
        <f>Patient_data[[#This Row],[Appointment_Date]]-Patient_data[[#This Row],[Booking_Date]]</f>
        <v>241</v>
      </c>
    </row>
    <row r="87" spans="1:15" x14ac:dyDescent="0.25">
      <c r="A87">
        <v>1077</v>
      </c>
      <c r="B87">
        <v>83</v>
      </c>
      <c r="C87" t="s">
        <v>15</v>
      </c>
      <c r="D87" t="s">
        <v>194</v>
      </c>
      <c r="E87" t="s">
        <v>17</v>
      </c>
      <c r="F87" s="3">
        <v>45790</v>
      </c>
      <c r="G87" s="1">
        <f>YEAR(Patient_data[[#This Row],[Appointment_Date]])</f>
        <v>2025</v>
      </c>
      <c r="H87" s="2" t="str">
        <f>TEXT(Patient_data[[#This Row],[Appointment_Date]],"mmmm")</f>
        <v>May</v>
      </c>
      <c r="I87" s="3" t="str">
        <f>TEXT(Patient_data[[#This Row],[Appointment_Date]],"mmm-yyyy")</f>
        <v>May-2025</v>
      </c>
      <c r="J87" s="3">
        <v>45716</v>
      </c>
      <c r="K87" t="s">
        <v>195</v>
      </c>
      <c r="L87" t="s">
        <v>23</v>
      </c>
      <c r="M87" s="4">
        <v>69.97</v>
      </c>
      <c r="N87" t="s">
        <v>24</v>
      </c>
      <c r="O87">
        <f>Patient_data[[#This Row],[Appointment_Date]]-Patient_data[[#This Row],[Booking_Date]]</f>
        <v>74</v>
      </c>
    </row>
    <row r="88" spans="1:15" x14ac:dyDescent="0.25">
      <c r="A88">
        <v>1027</v>
      </c>
      <c r="B88">
        <v>83</v>
      </c>
      <c r="C88" t="s">
        <v>15</v>
      </c>
      <c r="D88" t="s">
        <v>196</v>
      </c>
      <c r="E88" t="s">
        <v>28</v>
      </c>
      <c r="F88" s="3">
        <v>45834</v>
      </c>
      <c r="G88" s="1">
        <f>YEAR(Patient_data[[#This Row],[Appointment_Date]])</f>
        <v>2025</v>
      </c>
      <c r="H88" s="2" t="str">
        <f>TEXT(Patient_data[[#This Row],[Appointment_Date]],"mmmm")</f>
        <v>June</v>
      </c>
      <c r="I88" s="3" t="str">
        <f>TEXT(Patient_data[[#This Row],[Appointment_Date]],"mmm-yyyy")</f>
        <v>Jun-2025</v>
      </c>
      <c r="J88" s="3">
        <v>45820</v>
      </c>
      <c r="K88" t="s">
        <v>197</v>
      </c>
      <c r="L88" t="s">
        <v>19</v>
      </c>
      <c r="M88" s="4">
        <v>25.1</v>
      </c>
      <c r="N88" t="s">
        <v>24</v>
      </c>
      <c r="O88">
        <f>Patient_data[[#This Row],[Appointment_Date]]-Patient_data[[#This Row],[Booking_Date]]</f>
        <v>14</v>
      </c>
    </row>
    <row r="89" spans="1:15" x14ac:dyDescent="0.25">
      <c r="A89">
        <v>1088</v>
      </c>
      <c r="B89">
        <v>83</v>
      </c>
      <c r="C89" t="s">
        <v>15</v>
      </c>
      <c r="D89" t="s">
        <v>198</v>
      </c>
      <c r="E89" t="s">
        <v>17</v>
      </c>
      <c r="F89" s="3">
        <v>46025</v>
      </c>
      <c r="G89" s="1">
        <f>YEAR(Patient_data[[#This Row],[Appointment_Date]])</f>
        <v>2026</v>
      </c>
      <c r="H89" s="2" t="str">
        <f>TEXT(Patient_data[[#This Row],[Appointment_Date]],"mmmm")</f>
        <v>January</v>
      </c>
      <c r="I89" s="3" t="str">
        <f>TEXT(Patient_data[[#This Row],[Appointment_Date]],"mmm-yyyy")</f>
        <v>Jan-2026</v>
      </c>
      <c r="J89" s="3">
        <v>45647</v>
      </c>
      <c r="K89" t="s">
        <v>199</v>
      </c>
      <c r="L89" t="s">
        <v>43</v>
      </c>
      <c r="M89" s="4">
        <v>83.19</v>
      </c>
      <c r="N89" t="s">
        <v>24</v>
      </c>
      <c r="O89">
        <f>Patient_data[[#This Row],[Appointment_Date]]-Patient_data[[#This Row],[Booking_Date]]</f>
        <v>378</v>
      </c>
    </row>
    <row r="90" spans="1:15" x14ac:dyDescent="0.25">
      <c r="A90">
        <v>1096</v>
      </c>
      <c r="B90">
        <v>83</v>
      </c>
      <c r="C90" t="s">
        <v>15</v>
      </c>
      <c r="D90" t="s">
        <v>200</v>
      </c>
      <c r="E90" t="s">
        <v>28</v>
      </c>
      <c r="F90" s="3">
        <v>46102</v>
      </c>
      <c r="G90" s="1">
        <f>YEAR(Patient_data[[#This Row],[Appointment_Date]])</f>
        <v>2026</v>
      </c>
      <c r="H90" s="2" t="str">
        <f>TEXT(Patient_data[[#This Row],[Appointment_Date]],"mmmm")</f>
        <v>March</v>
      </c>
      <c r="I90" s="3" t="str">
        <f>TEXT(Patient_data[[#This Row],[Appointment_Date]],"mmm-yyyy")</f>
        <v>Mar-2026</v>
      </c>
      <c r="J90" s="3">
        <v>46000</v>
      </c>
      <c r="K90" t="s">
        <v>201</v>
      </c>
      <c r="L90" t="s">
        <v>19</v>
      </c>
      <c r="M90" s="4">
        <v>94.82</v>
      </c>
      <c r="N90" t="s">
        <v>24</v>
      </c>
      <c r="O90">
        <f>Patient_data[[#This Row],[Appointment_Date]]-Patient_data[[#This Row],[Booking_Date]]</f>
        <v>102</v>
      </c>
    </row>
    <row r="91" spans="1:15" x14ac:dyDescent="0.25">
      <c r="A91">
        <v>1022</v>
      </c>
      <c r="B91">
        <v>83</v>
      </c>
      <c r="C91" t="s">
        <v>15</v>
      </c>
      <c r="D91" t="s">
        <v>202</v>
      </c>
      <c r="E91" t="s">
        <v>17</v>
      </c>
      <c r="F91" s="3">
        <v>45915</v>
      </c>
      <c r="G91" s="1">
        <f>YEAR(Patient_data[[#This Row],[Appointment_Date]])</f>
        <v>2025</v>
      </c>
      <c r="H91" s="2" t="str">
        <f>TEXT(Patient_data[[#This Row],[Appointment_Date]],"mmmm")</f>
        <v>September</v>
      </c>
      <c r="I91" s="3" t="str">
        <f>TEXT(Patient_data[[#This Row],[Appointment_Date]],"mmm-yyyy")</f>
        <v>Sep-2025</v>
      </c>
      <c r="J91" s="3">
        <v>45649</v>
      </c>
      <c r="K91" t="s">
        <v>203</v>
      </c>
      <c r="L91" t="s">
        <v>43</v>
      </c>
      <c r="M91" s="4">
        <v>75.599999999999994</v>
      </c>
      <c r="N91" t="s">
        <v>20</v>
      </c>
      <c r="O91">
        <f>Patient_data[[#This Row],[Appointment_Date]]-Patient_data[[#This Row],[Booking_Date]]</f>
        <v>266</v>
      </c>
    </row>
    <row r="92" spans="1:15" x14ac:dyDescent="0.25">
      <c r="A92">
        <v>1050</v>
      </c>
      <c r="B92">
        <v>83</v>
      </c>
      <c r="C92" t="s">
        <v>15</v>
      </c>
      <c r="D92" t="s">
        <v>204</v>
      </c>
      <c r="E92" t="s">
        <v>17</v>
      </c>
      <c r="F92" s="3">
        <v>45911</v>
      </c>
      <c r="G92" s="1">
        <f>YEAR(Patient_data[[#This Row],[Appointment_Date]])</f>
        <v>2025</v>
      </c>
      <c r="H92" s="2" t="str">
        <f>TEXT(Patient_data[[#This Row],[Appointment_Date]],"mmmm")</f>
        <v>September</v>
      </c>
      <c r="I92" s="3" t="str">
        <f>TEXT(Patient_data[[#This Row],[Appointment_Date]],"mmm-yyyy")</f>
        <v>Sep-2025</v>
      </c>
      <c r="J92" s="3">
        <v>45538</v>
      </c>
      <c r="K92" t="s">
        <v>205</v>
      </c>
      <c r="L92" t="s">
        <v>19</v>
      </c>
      <c r="M92" s="4">
        <v>63.99</v>
      </c>
      <c r="N92" t="s">
        <v>20</v>
      </c>
      <c r="O92">
        <f>Patient_data[[#This Row],[Appointment_Date]]-Patient_data[[#This Row],[Booking_Date]]</f>
        <v>373</v>
      </c>
    </row>
    <row r="93" spans="1:15" x14ac:dyDescent="0.25">
      <c r="A93">
        <v>1084</v>
      </c>
      <c r="B93">
        <v>83</v>
      </c>
      <c r="C93" t="s">
        <v>15</v>
      </c>
      <c r="D93" t="s">
        <v>206</v>
      </c>
      <c r="E93" t="s">
        <v>28</v>
      </c>
      <c r="F93" s="3">
        <v>45865</v>
      </c>
      <c r="G93" s="1">
        <f>YEAR(Patient_data[[#This Row],[Appointment_Date]])</f>
        <v>2025</v>
      </c>
      <c r="H93" s="2" t="str">
        <f>TEXT(Patient_data[[#This Row],[Appointment_Date]],"mmmm")</f>
        <v>July</v>
      </c>
      <c r="I93" s="3" t="str">
        <f>TEXT(Patient_data[[#This Row],[Appointment_Date]],"mmm-yyyy")</f>
        <v>Jul-2025</v>
      </c>
      <c r="J93" s="3">
        <v>45744</v>
      </c>
      <c r="K93" t="s">
        <v>207</v>
      </c>
      <c r="L93" t="s">
        <v>43</v>
      </c>
      <c r="M93" s="4">
        <v>18.440000000000001</v>
      </c>
      <c r="N93" t="s">
        <v>20</v>
      </c>
      <c r="O93">
        <f>Patient_data[[#This Row],[Appointment_Date]]-Patient_data[[#This Row],[Booking_Date]]</f>
        <v>121</v>
      </c>
    </row>
    <row r="94" spans="1:15" x14ac:dyDescent="0.25">
      <c r="A94">
        <v>1043</v>
      </c>
      <c r="B94">
        <v>82</v>
      </c>
      <c r="C94" t="s">
        <v>15</v>
      </c>
      <c r="D94" t="s">
        <v>208</v>
      </c>
      <c r="E94" t="s">
        <v>28</v>
      </c>
      <c r="F94" s="3">
        <v>46006</v>
      </c>
      <c r="G94" s="1">
        <f>YEAR(Patient_data[[#This Row],[Appointment_Date]])</f>
        <v>2025</v>
      </c>
      <c r="H94" s="2" t="str">
        <f>TEXT(Patient_data[[#This Row],[Appointment_Date]],"mmmm")</f>
        <v>December</v>
      </c>
      <c r="I94" s="3" t="str">
        <f>TEXT(Patient_data[[#This Row],[Appointment_Date]],"mmm-yyyy")</f>
        <v>Dec-2025</v>
      </c>
      <c r="J94" s="3">
        <v>45859</v>
      </c>
      <c r="K94" t="s">
        <v>209</v>
      </c>
      <c r="L94" t="s">
        <v>23</v>
      </c>
      <c r="M94" s="4">
        <v>426.86</v>
      </c>
      <c r="N94" t="s">
        <v>20</v>
      </c>
      <c r="O94">
        <f>Patient_data[[#This Row],[Appointment_Date]]-Patient_data[[#This Row],[Booking_Date]]</f>
        <v>147</v>
      </c>
    </row>
    <row r="95" spans="1:15" x14ac:dyDescent="0.25">
      <c r="A95">
        <v>1054</v>
      </c>
      <c r="B95">
        <v>82</v>
      </c>
      <c r="C95" t="s">
        <v>15</v>
      </c>
      <c r="D95" t="s">
        <v>210</v>
      </c>
      <c r="E95" t="s">
        <v>28</v>
      </c>
      <c r="F95" s="3">
        <v>45984</v>
      </c>
      <c r="G95" s="1">
        <f>YEAR(Patient_data[[#This Row],[Appointment_Date]])</f>
        <v>2025</v>
      </c>
      <c r="H95" s="2" t="str">
        <f>TEXT(Patient_data[[#This Row],[Appointment_Date]],"mmmm")</f>
        <v>November</v>
      </c>
      <c r="I95" s="3" t="str">
        <f>TEXT(Patient_data[[#This Row],[Appointment_Date]],"mmm-yyyy")</f>
        <v>Nov-2025</v>
      </c>
      <c r="J95" s="3">
        <v>45633</v>
      </c>
      <c r="K95" t="s">
        <v>211</v>
      </c>
      <c r="L95" t="s">
        <v>30</v>
      </c>
      <c r="M95" s="4">
        <v>392.87</v>
      </c>
      <c r="N95" t="s">
        <v>24</v>
      </c>
      <c r="O95">
        <f>Patient_data[[#This Row],[Appointment_Date]]-Patient_data[[#This Row],[Booking_Date]]</f>
        <v>351</v>
      </c>
    </row>
    <row r="96" spans="1:15" x14ac:dyDescent="0.25">
      <c r="A96">
        <v>1010</v>
      </c>
      <c r="B96">
        <v>82</v>
      </c>
      <c r="C96" t="s">
        <v>15</v>
      </c>
      <c r="D96" t="s">
        <v>212</v>
      </c>
      <c r="E96" t="s">
        <v>17</v>
      </c>
      <c r="F96" s="3">
        <v>45853</v>
      </c>
      <c r="G96" s="1">
        <f>YEAR(Patient_data[[#This Row],[Appointment_Date]])</f>
        <v>2025</v>
      </c>
      <c r="H96" s="2" t="str">
        <f>TEXT(Patient_data[[#This Row],[Appointment_Date]],"mmmm")</f>
        <v>July</v>
      </c>
      <c r="I96" s="3" t="str">
        <f>TEXT(Patient_data[[#This Row],[Appointment_Date]],"mmm-yyyy")</f>
        <v>Jul-2025</v>
      </c>
      <c r="J96" s="3">
        <v>45796</v>
      </c>
      <c r="K96" t="s">
        <v>213</v>
      </c>
      <c r="L96" t="s">
        <v>43</v>
      </c>
      <c r="M96" s="4">
        <v>95.94</v>
      </c>
      <c r="N96" t="s">
        <v>24</v>
      </c>
      <c r="O96">
        <f>Patient_data[[#This Row],[Appointment_Date]]-Patient_data[[#This Row],[Booking_Date]]</f>
        <v>57</v>
      </c>
    </row>
    <row r="97" spans="1:15" x14ac:dyDescent="0.25">
      <c r="A97">
        <v>1096</v>
      </c>
      <c r="B97">
        <v>82</v>
      </c>
      <c r="C97" t="s">
        <v>15</v>
      </c>
      <c r="D97" t="s">
        <v>214</v>
      </c>
      <c r="E97" t="s">
        <v>17</v>
      </c>
      <c r="F97" s="3">
        <v>45792</v>
      </c>
      <c r="G97" s="1">
        <f>YEAR(Patient_data[[#This Row],[Appointment_Date]])</f>
        <v>2025</v>
      </c>
      <c r="H97" s="2" t="str">
        <f>TEXT(Patient_data[[#This Row],[Appointment_Date]],"mmmm")</f>
        <v>May</v>
      </c>
      <c r="I97" s="3" t="str">
        <f>TEXT(Patient_data[[#This Row],[Appointment_Date]],"mmm-yyyy")</f>
        <v>May-2025</v>
      </c>
      <c r="J97" s="3">
        <v>45790</v>
      </c>
      <c r="K97" t="s">
        <v>215</v>
      </c>
      <c r="L97" t="s">
        <v>23</v>
      </c>
      <c r="M97" s="4">
        <v>3.87</v>
      </c>
      <c r="N97" t="s">
        <v>20</v>
      </c>
      <c r="O97">
        <f>Patient_data[[#This Row],[Appointment_Date]]-Patient_data[[#This Row],[Booking_Date]]</f>
        <v>2</v>
      </c>
    </row>
    <row r="98" spans="1:15" x14ac:dyDescent="0.25">
      <c r="A98">
        <v>1054</v>
      </c>
      <c r="B98">
        <v>82</v>
      </c>
      <c r="C98" t="s">
        <v>15</v>
      </c>
      <c r="D98" t="s">
        <v>216</v>
      </c>
      <c r="E98" t="s">
        <v>17</v>
      </c>
      <c r="F98" s="3">
        <v>45824</v>
      </c>
      <c r="G98" s="1">
        <f>YEAR(Patient_data[[#This Row],[Appointment_Date]])</f>
        <v>2025</v>
      </c>
      <c r="H98" s="2" t="str">
        <f>TEXT(Patient_data[[#This Row],[Appointment_Date]],"mmmm")</f>
        <v>June</v>
      </c>
      <c r="I98" s="3" t="str">
        <f>TEXT(Patient_data[[#This Row],[Appointment_Date]],"mmm-yyyy")</f>
        <v>Jun-2025</v>
      </c>
      <c r="J98" s="3">
        <v>45383</v>
      </c>
      <c r="K98" t="s">
        <v>217</v>
      </c>
      <c r="L98" t="s">
        <v>23</v>
      </c>
      <c r="M98" s="4">
        <v>32.15</v>
      </c>
      <c r="N98" t="s">
        <v>24</v>
      </c>
      <c r="O98">
        <f>Patient_data[[#This Row],[Appointment_Date]]-Patient_data[[#This Row],[Booking_Date]]</f>
        <v>441</v>
      </c>
    </row>
    <row r="99" spans="1:15" x14ac:dyDescent="0.25">
      <c r="A99">
        <v>1008</v>
      </c>
      <c r="B99">
        <v>82</v>
      </c>
      <c r="C99" t="s">
        <v>15</v>
      </c>
      <c r="D99" t="s">
        <v>218</v>
      </c>
      <c r="E99" t="s">
        <v>17</v>
      </c>
      <c r="F99" s="3">
        <v>46084</v>
      </c>
      <c r="G99" s="1">
        <f>YEAR(Patient_data[[#This Row],[Appointment_Date]])</f>
        <v>2026</v>
      </c>
      <c r="H99" s="2" t="str">
        <f>TEXT(Patient_data[[#This Row],[Appointment_Date]],"mmmm")</f>
        <v>March</v>
      </c>
      <c r="I99" s="3" t="str">
        <f>TEXT(Patient_data[[#This Row],[Appointment_Date]],"mmm-yyyy")</f>
        <v>Mar-2026</v>
      </c>
      <c r="J99" s="3">
        <v>45599</v>
      </c>
      <c r="K99" t="s">
        <v>219</v>
      </c>
      <c r="L99" t="s">
        <v>30</v>
      </c>
      <c r="M99" s="4">
        <v>7.23</v>
      </c>
      <c r="N99" t="s">
        <v>20</v>
      </c>
      <c r="O99">
        <f>Patient_data[[#This Row],[Appointment_Date]]-Patient_data[[#This Row],[Booking_Date]]</f>
        <v>485</v>
      </c>
    </row>
    <row r="100" spans="1:15" x14ac:dyDescent="0.25">
      <c r="A100">
        <v>1078</v>
      </c>
      <c r="B100">
        <v>82</v>
      </c>
      <c r="C100" t="s">
        <v>15</v>
      </c>
      <c r="D100" t="s">
        <v>220</v>
      </c>
      <c r="E100" t="s">
        <v>28</v>
      </c>
      <c r="F100" s="3">
        <v>46046</v>
      </c>
      <c r="G100" s="1">
        <f>YEAR(Patient_data[[#This Row],[Appointment_Date]])</f>
        <v>2026</v>
      </c>
      <c r="H100" s="2" t="str">
        <f>TEXT(Patient_data[[#This Row],[Appointment_Date]],"mmmm")</f>
        <v>January</v>
      </c>
      <c r="I100" s="3" t="str">
        <f>TEXT(Patient_data[[#This Row],[Appointment_Date]],"mmm-yyyy")</f>
        <v>Jan-2026</v>
      </c>
      <c r="J100" s="3">
        <v>45568</v>
      </c>
      <c r="K100" t="s">
        <v>221</v>
      </c>
      <c r="L100" t="s">
        <v>43</v>
      </c>
      <c r="M100" s="4">
        <v>52.53</v>
      </c>
      <c r="N100" t="s">
        <v>20</v>
      </c>
      <c r="O100">
        <f>Patient_data[[#This Row],[Appointment_Date]]-Patient_data[[#This Row],[Booking_Date]]</f>
        <v>478</v>
      </c>
    </row>
    <row r="101" spans="1:15" x14ac:dyDescent="0.25">
      <c r="A101">
        <v>1056</v>
      </c>
      <c r="B101">
        <v>82</v>
      </c>
      <c r="C101" t="s">
        <v>15</v>
      </c>
      <c r="D101" t="s">
        <v>222</v>
      </c>
      <c r="E101" t="s">
        <v>17</v>
      </c>
      <c r="F101" s="3">
        <v>46026</v>
      </c>
      <c r="G101" s="1">
        <f>YEAR(Patient_data[[#This Row],[Appointment_Date]])</f>
        <v>2026</v>
      </c>
      <c r="H101" s="2" t="str">
        <f>TEXT(Patient_data[[#This Row],[Appointment_Date]],"mmmm")</f>
        <v>January</v>
      </c>
      <c r="I101" s="3" t="str">
        <f>TEXT(Patient_data[[#This Row],[Appointment_Date]],"mmm-yyyy")</f>
        <v>Jan-2026</v>
      </c>
      <c r="J101" s="3">
        <v>45763</v>
      </c>
      <c r="K101" t="s">
        <v>223</v>
      </c>
      <c r="L101" t="s">
        <v>19</v>
      </c>
      <c r="M101" s="4">
        <v>203.05</v>
      </c>
      <c r="N101" t="s">
        <v>20</v>
      </c>
      <c r="O101">
        <f>Patient_data[[#This Row],[Appointment_Date]]-Patient_data[[#This Row],[Booking_Date]]</f>
        <v>263</v>
      </c>
    </row>
    <row r="102" spans="1:15" x14ac:dyDescent="0.25">
      <c r="A102">
        <v>1043</v>
      </c>
      <c r="B102">
        <v>82</v>
      </c>
      <c r="C102" t="s">
        <v>15</v>
      </c>
      <c r="D102" t="s">
        <v>224</v>
      </c>
      <c r="E102" t="s">
        <v>17</v>
      </c>
      <c r="F102" s="3">
        <v>45800</v>
      </c>
      <c r="G102" s="1">
        <f>YEAR(Patient_data[[#This Row],[Appointment_Date]])</f>
        <v>2025</v>
      </c>
      <c r="H102" s="2" t="str">
        <f>TEXT(Patient_data[[#This Row],[Appointment_Date]],"mmmm")</f>
        <v>May</v>
      </c>
      <c r="I102" s="3" t="str">
        <f>TEXT(Patient_data[[#This Row],[Appointment_Date]],"mmm-yyyy")</f>
        <v>May-2025</v>
      </c>
      <c r="J102" s="3">
        <v>45583</v>
      </c>
      <c r="K102" t="s">
        <v>225</v>
      </c>
      <c r="L102" t="s">
        <v>30</v>
      </c>
      <c r="M102" s="4">
        <v>15.76</v>
      </c>
      <c r="N102" t="s">
        <v>20</v>
      </c>
      <c r="O102">
        <f>Patient_data[[#This Row],[Appointment_Date]]-Patient_data[[#This Row],[Booking_Date]]</f>
        <v>217</v>
      </c>
    </row>
    <row r="103" spans="1:15" x14ac:dyDescent="0.25">
      <c r="A103">
        <v>1017</v>
      </c>
      <c r="B103">
        <v>82</v>
      </c>
      <c r="C103" t="s">
        <v>15</v>
      </c>
      <c r="D103" t="s">
        <v>226</v>
      </c>
      <c r="E103" t="s">
        <v>28</v>
      </c>
      <c r="F103" s="3">
        <v>46037</v>
      </c>
      <c r="G103" s="1">
        <f>YEAR(Patient_data[[#This Row],[Appointment_Date]])</f>
        <v>2026</v>
      </c>
      <c r="H103" s="2" t="str">
        <f>TEXT(Patient_data[[#This Row],[Appointment_Date]],"mmmm")</f>
        <v>January</v>
      </c>
      <c r="I103" s="3" t="str">
        <f>TEXT(Patient_data[[#This Row],[Appointment_Date]],"mmm-yyyy")</f>
        <v>Jan-2026</v>
      </c>
      <c r="J103" s="3">
        <v>45862</v>
      </c>
      <c r="K103" t="s">
        <v>227</v>
      </c>
      <c r="L103" t="s">
        <v>23</v>
      </c>
      <c r="M103" s="4">
        <v>56.61</v>
      </c>
      <c r="N103" t="s">
        <v>20</v>
      </c>
      <c r="O103">
        <f>Patient_data[[#This Row],[Appointment_Date]]-Patient_data[[#This Row],[Booking_Date]]</f>
        <v>175</v>
      </c>
    </row>
    <row r="104" spans="1:15" x14ac:dyDescent="0.25">
      <c r="A104">
        <v>1036</v>
      </c>
      <c r="B104">
        <v>82</v>
      </c>
      <c r="C104" t="s">
        <v>15</v>
      </c>
      <c r="D104" t="s">
        <v>228</v>
      </c>
      <c r="E104" t="s">
        <v>17</v>
      </c>
      <c r="F104" s="3">
        <v>45999</v>
      </c>
      <c r="G104" s="1">
        <f>YEAR(Patient_data[[#This Row],[Appointment_Date]])</f>
        <v>2025</v>
      </c>
      <c r="H104" s="2" t="str">
        <f>TEXT(Patient_data[[#This Row],[Appointment_Date]],"mmmm")</f>
        <v>December</v>
      </c>
      <c r="I104" s="3" t="str">
        <f>TEXT(Patient_data[[#This Row],[Appointment_Date]],"mmm-yyyy")</f>
        <v>Dec-2025</v>
      </c>
      <c r="J104" s="3">
        <v>45389</v>
      </c>
      <c r="K104" t="s">
        <v>229</v>
      </c>
      <c r="L104" t="s">
        <v>23</v>
      </c>
      <c r="M104" s="4">
        <v>371.84</v>
      </c>
      <c r="N104" t="s">
        <v>24</v>
      </c>
      <c r="O104">
        <f>Patient_data[[#This Row],[Appointment_Date]]-Patient_data[[#This Row],[Booking_Date]]</f>
        <v>610</v>
      </c>
    </row>
    <row r="105" spans="1:15" x14ac:dyDescent="0.25">
      <c r="A105">
        <v>1086</v>
      </c>
      <c r="B105">
        <v>81</v>
      </c>
      <c r="C105" t="s">
        <v>15</v>
      </c>
      <c r="D105" t="s">
        <v>230</v>
      </c>
      <c r="E105" t="s">
        <v>17</v>
      </c>
      <c r="F105" s="3">
        <v>45757</v>
      </c>
      <c r="G105" s="1">
        <f>YEAR(Patient_data[[#This Row],[Appointment_Date]])</f>
        <v>2025</v>
      </c>
      <c r="H105" s="2" t="str">
        <f>TEXT(Patient_data[[#This Row],[Appointment_Date]],"mmmm")</f>
        <v>April</v>
      </c>
      <c r="I105" s="3" t="str">
        <f>TEXT(Patient_data[[#This Row],[Appointment_Date]],"mmm-yyyy")</f>
        <v>Apr-2025</v>
      </c>
      <c r="J105" s="3">
        <v>45642</v>
      </c>
      <c r="K105" t="s">
        <v>231</v>
      </c>
      <c r="L105" t="s">
        <v>23</v>
      </c>
      <c r="M105" s="4">
        <v>329.3</v>
      </c>
      <c r="N105" t="s">
        <v>24</v>
      </c>
      <c r="O105">
        <f>Patient_data[[#This Row],[Appointment_Date]]-Patient_data[[#This Row],[Booking_Date]]</f>
        <v>115</v>
      </c>
    </row>
    <row r="106" spans="1:15" x14ac:dyDescent="0.25">
      <c r="A106">
        <v>1014</v>
      </c>
      <c r="B106">
        <v>81</v>
      </c>
      <c r="C106" t="s">
        <v>15</v>
      </c>
      <c r="D106" t="s">
        <v>232</v>
      </c>
      <c r="E106" t="s">
        <v>28</v>
      </c>
      <c r="F106" s="3">
        <v>45809</v>
      </c>
      <c r="G106" s="1">
        <f>YEAR(Patient_data[[#This Row],[Appointment_Date]])</f>
        <v>2025</v>
      </c>
      <c r="H106" s="2" t="str">
        <f>TEXT(Patient_data[[#This Row],[Appointment_Date]],"mmmm")</f>
        <v>June</v>
      </c>
      <c r="I106" s="3" t="str">
        <f>TEXT(Patient_data[[#This Row],[Appointment_Date]],"mmm-yyyy")</f>
        <v>Jun-2025</v>
      </c>
      <c r="J106" s="3">
        <v>45523</v>
      </c>
      <c r="K106" t="s">
        <v>233</v>
      </c>
      <c r="L106" t="s">
        <v>30</v>
      </c>
      <c r="M106" s="4">
        <v>22.6</v>
      </c>
      <c r="N106" t="s">
        <v>20</v>
      </c>
      <c r="O106">
        <f>Patient_data[[#This Row],[Appointment_Date]]-Patient_data[[#This Row],[Booking_Date]]</f>
        <v>286</v>
      </c>
    </row>
    <row r="107" spans="1:15" x14ac:dyDescent="0.25">
      <c r="A107">
        <v>1000</v>
      </c>
      <c r="B107">
        <v>81</v>
      </c>
      <c r="C107" t="s">
        <v>15</v>
      </c>
      <c r="D107" t="s">
        <v>234</v>
      </c>
      <c r="E107" t="s">
        <v>28</v>
      </c>
      <c r="F107" s="3">
        <v>45956</v>
      </c>
      <c r="G107" s="1">
        <f>YEAR(Patient_data[[#This Row],[Appointment_Date]])</f>
        <v>2025</v>
      </c>
      <c r="H107" s="2" t="str">
        <f>TEXT(Patient_data[[#This Row],[Appointment_Date]],"mmmm")</f>
        <v>October</v>
      </c>
      <c r="I107" s="3" t="str">
        <f>TEXT(Patient_data[[#This Row],[Appointment_Date]],"mmm-yyyy")</f>
        <v>Oct-2025</v>
      </c>
      <c r="J107" s="3">
        <v>45707</v>
      </c>
      <c r="K107" t="s">
        <v>235</v>
      </c>
      <c r="L107" t="s">
        <v>23</v>
      </c>
      <c r="M107" s="4">
        <v>5.0599999999999996</v>
      </c>
      <c r="N107" t="s">
        <v>24</v>
      </c>
      <c r="O107">
        <f>Patient_data[[#This Row],[Appointment_Date]]-Patient_data[[#This Row],[Booking_Date]]</f>
        <v>249</v>
      </c>
    </row>
    <row r="108" spans="1:15" x14ac:dyDescent="0.25">
      <c r="A108">
        <v>1053</v>
      </c>
      <c r="B108">
        <v>81</v>
      </c>
      <c r="C108" t="s">
        <v>15</v>
      </c>
      <c r="D108" t="s">
        <v>236</v>
      </c>
      <c r="E108" t="s">
        <v>28</v>
      </c>
      <c r="F108" s="3">
        <v>45760</v>
      </c>
      <c r="G108" s="1">
        <f>YEAR(Patient_data[[#This Row],[Appointment_Date]])</f>
        <v>2025</v>
      </c>
      <c r="H108" s="2" t="str">
        <f>TEXT(Patient_data[[#This Row],[Appointment_Date]],"mmmm")</f>
        <v>April</v>
      </c>
      <c r="I108" s="3" t="str">
        <f>TEXT(Patient_data[[#This Row],[Appointment_Date]],"mmm-yyyy")</f>
        <v>Apr-2025</v>
      </c>
      <c r="J108" s="3">
        <v>45629</v>
      </c>
      <c r="K108" t="s">
        <v>237</v>
      </c>
      <c r="L108" t="s">
        <v>30</v>
      </c>
      <c r="M108" s="4">
        <v>99.67</v>
      </c>
      <c r="N108" t="s">
        <v>24</v>
      </c>
      <c r="O108">
        <f>Patient_data[[#This Row],[Appointment_Date]]-Patient_data[[#This Row],[Booking_Date]]</f>
        <v>131</v>
      </c>
    </row>
    <row r="109" spans="1:15" x14ac:dyDescent="0.25">
      <c r="A109">
        <v>1003</v>
      </c>
      <c r="B109">
        <v>81</v>
      </c>
      <c r="C109" t="s">
        <v>15</v>
      </c>
      <c r="D109" t="s">
        <v>238</v>
      </c>
      <c r="E109" t="s">
        <v>28</v>
      </c>
      <c r="F109" s="3">
        <v>45799</v>
      </c>
      <c r="G109" s="1">
        <f>YEAR(Patient_data[[#This Row],[Appointment_Date]])</f>
        <v>2025</v>
      </c>
      <c r="H109" s="2" t="str">
        <f>TEXT(Patient_data[[#This Row],[Appointment_Date]],"mmmm")</f>
        <v>May</v>
      </c>
      <c r="I109" s="3" t="str">
        <f>TEXT(Patient_data[[#This Row],[Appointment_Date]],"mmm-yyyy")</f>
        <v>May-2025</v>
      </c>
      <c r="J109" s="3">
        <v>45397</v>
      </c>
      <c r="K109" t="s">
        <v>239</v>
      </c>
      <c r="L109" t="s">
        <v>19</v>
      </c>
      <c r="M109" s="4">
        <v>9.67</v>
      </c>
      <c r="N109" t="s">
        <v>24</v>
      </c>
      <c r="O109">
        <f>Patient_data[[#This Row],[Appointment_Date]]-Patient_data[[#This Row],[Booking_Date]]</f>
        <v>402</v>
      </c>
    </row>
    <row r="110" spans="1:15" x14ac:dyDescent="0.25">
      <c r="A110">
        <v>1050</v>
      </c>
      <c r="B110">
        <v>81</v>
      </c>
      <c r="C110" t="s">
        <v>15</v>
      </c>
      <c r="D110" t="s">
        <v>240</v>
      </c>
      <c r="E110" t="s">
        <v>17</v>
      </c>
      <c r="F110" s="3">
        <v>45804</v>
      </c>
      <c r="G110" s="1">
        <f>YEAR(Patient_data[[#This Row],[Appointment_Date]])</f>
        <v>2025</v>
      </c>
      <c r="H110" s="2" t="str">
        <f>TEXT(Patient_data[[#This Row],[Appointment_Date]],"mmmm")</f>
        <v>May</v>
      </c>
      <c r="I110" s="3" t="str">
        <f>TEXT(Patient_data[[#This Row],[Appointment_Date]],"mmm-yyyy")</f>
        <v>May-2025</v>
      </c>
      <c r="J110" s="3">
        <v>45555</v>
      </c>
      <c r="K110" t="s">
        <v>241</v>
      </c>
      <c r="L110" t="s">
        <v>30</v>
      </c>
      <c r="M110" s="4">
        <v>84.28</v>
      </c>
      <c r="N110" t="s">
        <v>24</v>
      </c>
      <c r="O110">
        <f>Patient_data[[#This Row],[Appointment_Date]]-Patient_data[[#This Row],[Booking_Date]]</f>
        <v>249</v>
      </c>
    </row>
    <row r="111" spans="1:15" x14ac:dyDescent="0.25">
      <c r="A111">
        <v>1016</v>
      </c>
      <c r="B111">
        <v>81</v>
      </c>
      <c r="C111" t="s">
        <v>15</v>
      </c>
      <c r="D111" t="s">
        <v>242</v>
      </c>
      <c r="E111" t="s">
        <v>28</v>
      </c>
      <c r="F111" s="3">
        <v>45859</v>
      </c>
      <c r="G111" s="1">
        <f>YEAR(Patient_data[[#This Row],[Appointment_Date]])</f>
        <v>2025</v>
      </c>
      <c r="H111" s="2" t="str">
        <f>TEXT(Patient_data[[#This Row],[Appointment_Date]],"mmmm")</f>
        <v>July</v>
      </c>
      <c r="I111" s="3" t="str">
        <f>TEXT(Patient_data[[#This Row],[Appointment_Date]],"mmm-yyyy")</f>
        <v>Jul-2025</v>
      </c>
      <c r="J111" s="3">
        <v>45481</v>
      </c>
      <c r="K111" t="s">
        <v>243</v>
      </c>
      <c r="L111" t="s">
        <v>23</v>
      </c>
      <c r="M111" s="4">
        <v>56.26</v>
      </c>
      <c r="N111" t="s">
        <v>24</v>
      </c>
      <c r="O111">
        <f>Patient_data[[#This Row],[Appointment_Date]]-Patient_data[[#This Row],[Booking_Date]]</f>
        <v>378</v>
      </c>
    </row>
    <row r="112" spans="1:15" x14ac:dyDescent="0.25">
      <c r="A112">
        <v>1093</v>
      </c>
      <c r="B112">
        <v>81</v>
      </c>
      <c r="C112" t="s">
        <v>15</v>
      </c>
      <c r="D112" t="s">
        <v>244</v>
      </c>
      <c r="E112" t="s">
        <v>17</v>
      </c>
      <c r="F112" s="3">
        <v>46060</v>
      </c>
      <c r="G112" s="1">
        <f>YEAR(Patient_data[[#This Row],[Appointment_Date]])</f>
        <v>2026</v>
      </c>
      <c r="H112" s="2" t="str">
        <f>TEXT(Patient_data[[#This Row],[Appointment_Date]],"mmmm")</f>
        <v>February</v>
      </c>
      <c r="I112" s="3" t="str">
        <f>TEXT(Patient_data[[#This Row],[Appointment_Date]],"mmm-yyyy")</f>
        <v>Feb-2026</v>
      </c>
      <c r="J112" s="3">
        <v>45470</v>
      </c>
      <c r="K112" t="s">
        <v>245</v>
      </c>
      <c r="L112" t="s">
        <v>23</v>
      </c>
      <c r="M112" s="4">
        <v>90.67</v>
      </c>
      <c r="N112" t="s">
        <v>24</v>
      </c>
      <c r="O112">
        <f>Patient_data[[#This Row],[Appointment_Date]]-Patient_data[[#This Row],[Booking_Date]]</f>
        <v>590</v>
      </c>
    </row>
    <row r="113" spans="1:15" x14ac:dyDescent="0.25">
      <c r="A113">
        <v>1027</v>
      </c>
      <c r="B113">
        <v>81</v>
      </c>
      <c r="C113" t="s">
        <v>15</v>
      </c>
      <c r="D113" t="s">
        <v>246</v>
      </c>
      <c r="E113" t="s">
        <v>28</v>
      </c>
      <c r="F113" s="3">
        <v>46021</v>
      </c>
      <c r="G113" s="1">
        <f>YEAR(Patient_data[[#This Row],[Appointment_Date]])</f>
        <v>2025</v>
      </c>
      <c r="H113" s="2" t="str">
        <f>TEXT(Patient_data[[#This Row],[Appointment_Date]],"mmmm")</f>
        <v>December</v>
      </c>
      <c r="I113" s="3" t="str">
        <f>TEXT(Patient_data[[#This Row],[Appointment_Date]],"mmm-yyyy")</f>
        <v>Dec-2025</v>
      </c>
      <c r="J113" s="3">
        <v>45666</v>
      </c>
      <c r="K113" t="s">
        <v>247</v>
      </c>
      <c r="L113" t="s">
        <v>23</v>
      </c>
      <c r="M113" s="4">
        <v>18.72</v>
      </c>
      <c r="N113" t="s">
        <v>20</v>
      </c>
      <c r="O113">
        <f>Patient_data[[#This Row],[Appointment_Date]]-Patient_data[[#This Row],[Booking_Date]]</f>
        <v>355</v>
      </c>
    </row>
    <row r="114" spans="1:15" x14ac:dyDescent="0.25">
      <c r="A114">
        <v>1051</v>
      </c>
      <c r="B114">
        <v>81</v>
      </c>
      <c r="C114" t="s">
        <v>15</v>
      </c>
      <c r="D114" t="s">
        <v>248</v>
      </c>
      <c r="E114" t="s">
        <v>17</v>
      </c>
      <c r="F114" s="3">
        <v>46056</v>
      </c>
      <c r="G114" s="1">
        <f>YEAR(Patient_data[[#This Row],[Appointment_Date]])</f>
        <v>2026</v>
      </c>
      <c r="H114" s="2" t="str">
        <f>TEXT(Patient_data[[#This Row],[Appointment_Date]],"mmmm")</f>
        <v>February</v>
      </c>
      <c r="I114" s="3" t="str">
        <f>TEXT(Patient_data[[#This Row],[Appointment_Date]],"mmm-yyyy")</f>
        <v>Feb-2026</v>
      </c>
      <c r="J114" s="3">
        <v>45929</v>
      </c>
      <c r="K114" t="s">
        <v>249</v>
      </c>
      <c r="L114" t="s">
        <v>19</v>
      </c>
      <c r="M114" s="4">
        <v>1.93</v>
      </c>
      <c r="N114" t="s">
        <v>20</v>
      </c>
      <c r="O114">
        <f>Patient_data[[#This Row],[Appointment_Date]]-Patient_data[[#This Row],[Booking_Date]]</f>
        <v>127</v>
      </c>
    </row>
    <row r="115" spans="1:15" x14ac:dyDescent="0.25">
      <c r="A115">
        <v>1014</v>
      </c>
      <c r="B115">
        <v>81</v>
      </c>
      <c r="C115" t="s">
        <v>15</v>
      </c>
      <c r="D115" t="s">
        <v>250</v>
      </c>
      <c r="E115" t="s">
        <v>28</v>
      </c>
      <c r="F115" s="3">
        <v>45806</v>
      </c>
      <c r="G115" s="1">
        <f>YEAR(Patient_data[[#This Row],[Appointment_Date]])</f>
        <v>2025</v>
      </c>
      <c r="H115" s="2" t="str">
        <f>TEXT(Patient_data[[#This Row],[Appointment_Date]],"mmmm")</f>
        <v>May</v>
      </c>
      <c r="I115" s="3" t="str">
        <f>TEXT(Patient_data[[#This Row],[Appointment_Date]],"mmm-yyyy")</f>
        <v>May-2025</v>
      </c>
      <c r="J115" s="3">
        <v>45454</v>
      </c>
      <c r="K115" t="s">
        <v>251</v>
      </c>
      <c r="L115" t="s">
        <v>43</v>
      </c>
      <c r="M115" s="4">
        <v>201.8</v>
      </c>
      <c r="N115" t="s">
        <v>24</v>
      </c>
      <c r="O115">
        <f>Patient_data[[#This Row],[Appointment_Date]]-Patient_data[[#This Row],[Booking_Date]]</f>
        <v>352</v>
      </c>
    </row>
    <row r="116" spans="1:15" x14ac:dyDescent="0.25">
      <c r="A116">
        <v>1059</v>
      </c>
      <c r="B116">
        <v>81</v>
      </c>
      <c r="C116" t="s">
        <v>15</v>
      </c>
      <c r="D116" t="s">
        <v>252</v>
      </c>
      <c r="E116" t="s">
        <v>28</v>
      </c>
      <c r="F116" s="3">
        <v>45744</v>
      </c>
      <c r="G116" s="1">
        <f>YEAR(Patient_data[[#This Row],[Appointment_Date]])</f>
        <v>2025</v>
      </c>
      <c r="H116" s="2" t="str">
        <f>TEXT(Patient_data[[#This Row],[Appointment_Date]],"mmmm")</f>
        <v>March</v>
      </c>
      <c r="I116" s="3" t="str">
        <f>TEXT(Patient_data[[#This Row],[Appointment_Date]],"mmm-yyyy")</f>
        <v>Mar-2025</v>
      </c>
      <c r="J116" s="3">
        <v>45704</v>
      </c>
      <c r="K116" t="s">
        <v>253</v>
      </c>
      <c r="L116" t="s">
        <v>30</v>
      </c>
      <c r="M116" s="4">
        <v>475.35</v>
      </c>
      <c r="N116" t="s">
        <v>20</v>
      </c>
      <c r="O116">
        <f>Patient_data[[#This Row],[Appointment_Date]]-Patient_data[[#This Row],[Booking_Date]]</f>
        <v>40</v>
      </c>
    </row>
    <row r="117" spans="1:15" x14ac:dyDescent="0.25">
      <c r="A117">
        <v>1086</v>
      </c>
      <c r="B117">
        <v>80</v>
      </c>
      <c r="C117" t="s">
        <v>15</v>
      </c>
      <c r="D117" t="s">
        <v>254</v>
      </c>
      <c r="E117" t="s">
        <v>28</v>
      </c>
      <c r="F117" s="3">
        <v>45992</v>
      </c>
      <c r="G117" s="1">
        <f>YEAR(Patient_data[[#This Row],[Appointment_Date]])</f>
        <v>2025</v>
      </c>
      <c r="H117" s="2" t="str">
        <f>TEXT(Patient_data[[#This Row],[Appointment_Date]],"mmmm")</f>
        <v>December</v>
      </c>
      <c r="I117" s="3" t="str">
        <f>TEXT(Patient_data[[#This Row],[Appointment_Date]],"mmm-yyyy")</f>
        <v>Dec-2025</v>
      </c>
      <c r="J117" s="3">
        <v>45593</v>
      </c>
      <c r="K117" t="s">
        <v>255</v>
      </c>
      <c r="L117" t="s">
        <v>43</v>
      </c>
      <c r="M117" s="4">
        <v>93</v>
      </c>
      <c r="N117" t="s">
        <v>24</v>
      </c>
      <c r="O117">
        <f>Patient_data[[#This Row],[Appointment_Date]]-Patient_data[[#This Row],[Booking_Date]]</f>
        <v>399</v>
      </c>
    </row>
    <row r="118" spans="1:15" x14ac:dyDescent="0.25">
      <c r="A118">
        <v>1087</v>
      </c>
      <c r="B118">
        <v>80</v>
      </c>
      <c r="C118" t="s">
        <v>15</v>
      </c>
      <c r="D118" t="s">
        <v>256</v>
      </c>
      <c r="E118" t="s">
        <v>28</v>
      </c>
      <c r="F118" s="3">
        <v>46029</v>
      </c>
      <c r="G118" s="1">
        <f>YEAR(Patient_data[[#This Row],[Appointment_Date]])</f>
        <v>2026</v>
      </c>
      <c r="H118" s="2" t="str">
        <f>TEXT(Patient_data[[#This Row],[Appointment_Date]],"mmmm")</f>
        <v>January</v>
      </c>
      <c r="I118" s="3" t="str">
        <f>TEXT(Patient_data[[#This Row],[Appointment_Date]],"mmm-yyyy")</f>
        <v>Jan-2026</v>
      </c>
      <c r="J118" s="3">
        <v>45438</v>
      </c>
      <c r="K118" t="s">
        <v>257</v>
      </c>
      <c r="L118" t="s">
        <v>19</v>
      </c>
      <c r="M118" s="4">
        <v>7.2</v>
      </c>
      <c r="N118" t="s">
        <v>20</v>
      </c>
      <c r="O118">
        <f>Patient_data[[#This Row],[Appointment_Date]]-Patient_data[[#This Row],[Booking_Date]]</f>
        <v>591</v>
      </c>
    </row>
    <row r="119" spans="1:15" x14ac:dyDescent="0.25">
      <c r="A119">
        <v>1035</v>
      </c>
      <c r="B119">
        <v>80</v>
      </c>
      <c r="C119" t="s">
        <v>15</v>
      </c>
      <c r="D119" t="s">
        <v>258</v>
      </c>
      <c r="E119" t="s">
        <v>17</v>
      </c>
      <c r="F119" s="3">
        <v>45872</v>
      </c>
      <c r="G119" s="1">
        <f>YEAR(Patient_data[[#This Row],[Appointment_Date]])</f>
        <v>2025</v>
      </c>
      <c r="H119" s="2" t="str">
        <f>TEXT(Patient_data[[#This Row],[Appointment_Date]],"mmmm")</f>
        <v>August</v>
      </c>
      <c r="I119" s="3" t="str">
        <f>TEXT(Patient_data[[#This Row],[Appointment_Date]],"mmm-yyyy")</f>
        <v>Aug-2025</v>
      </c>
      <c r="J119" s="3">
        <v>45750</v>
      </c>
      <c r="K119" t="s">
        <v>259</v>
      </c>
      <c r="L119" t="s">
        <v>19</v>
      </c>
      <c r="M119" s="4">
        <v>87.58</v>
      </c>
      <c r="N119" t="s">
        <v>24</v>
      </c>
      <c r="O119">
        <f>Patient_data[[#This Row],[Appointment_Date]]-Patient_data[[#This Row],[Booking_Date]]</f>
        <v>122</v>
      </c>
    </row>
    <row r="120" spans="1:15" x14ac:dyDescent="0.25">
      <c r="A120">
        <v>1026</v>
      </c>
      <c r="B120">
        <v>80</v>
      </c>
      <c r="C120" t="s">
        <v>15</v>
      </c>
      <c r="D120" t="s">
        <v>260</v>
      </c>
      <c r="E120" t="s">
        <v>17</v>
      </c>
      <c r="F120" s="3">
        <v>45774</v>
      </c>
      <c r="G120" s="1">
        <f>YEAR(Patient_data[[#This Row],[Appointment_Date]])</f>
        <v>2025</v>
      </c>
      <c r="H120" s="2" t="str">
        <f>TEXT(Patient_data[[#This Row],[Appointment_Date]],"mmmm")</f>
        <v>April</v>
      </c>
      <c r="I120" s="3" t="str">
        <f>TEXT(Patient_data[[#This Row],[Appointment_Date]],"mmm-yyyy")</f>
        <v>Apr-2025</v>
      </c>
      <c r="J120" s="3">
        <v>45739</v>
      </c>
      <c r="K120" t="s">
        <v>261</v>
      </c>
      <c r="L120" t="s">
        <v>23</v>
      </c>
      <c r="M120" s="4">
        <v>301.11</v>
      </c>
      <c r="N120" t="s">
        <v>24</v>
      </c>
      <c r="O120">
        <f>Patient_data[[#This Row],[Appointment_Date]]-Patient_data[[#This Row],[Booking_Date]]</f>
        <v>35</v>
      </c>
    </row>
    <row r="121" spans="1:15" x14ac:dyDescent="0.25">
      <c r="A121">
        <v>1005</v>
      </c>
      <c r="B121">
        <v>80</v>
      </c>
      <c r="C121" t="s">
        <v>15</v>
      </c>
      <c r="D121" t="s">
        <v>262</v>
      </c>
      <c r="E121" t="s">
        <v>17</v>
      </c>
      <c r="F121" s="3">
        <v>45862</v>
      </c>
      <c r="G121" s="1">
        <f>YEAR(Patient_data[[#This Row],[Appointment_Date]])</f>
        <v>2025</v>
      </c>
      <c r="H121" s="2" t="str">
        <f>TEXT(Patient_data[[#This Row],[Appointment_Date]],"mmmm")</f>
        <v>July</v>
      </c>
      <c r="I121" s="3" t="str">
        <f>TEXT(Patient_data[[#This Row],[Appointment_Date]],"mmm-yyyy")</f>
        <v>Jul-2025</v>
      </c>
      <c r="J121" s="3">
        <v>45673</v>
      </c>
      <c r="K121" t="s">
        <v>263</v>
      </c>
      <c r="L121" t="s">
        <v>23</v>
      </c>
      <c r="M121" s="4">
        <v>20.72</v>
      </c>
      <c r="N121" t="s">
        <v>20</v>
      </c>
      <c r="O121">
        <f>Patient_data[[#This Row],[Appointment_Date]]-Patient_data[[#This Row],[Booking_Date]]</f>
        <v>189</v>
      </c>
    </row>
    <row r="122" spans="1:15" x14ac:dyDescent="0.25">
      <c r="A122">
        <v>1089</v>
      </c>
      <c r="B122">
        <v>80</v>
      </c>
      <c r="C122" t="s">
        <v>15</v>
      </c>
      <c r="D122" t="s">
        <v>264</v>
      </c>
      <c r="E122" t="s">
        <v>28</v>
      </c>
      <c r="F122" s="3">
        <v>46000</v>
      </c>
      <c r="G122" s="1">
        <f>YEAR(Patient_data[[#This Row],[Appointment_Date]])</f>
        <v>2025</v>
      </c>
      <c r="H122" s="2" t="str">
        <f>TEXT(Patient_data[[#This Row],[Appointment_Date]],"mmmm")</f>
        <v>December</v>
      </c>
      <c r="I122" s="3" t="str">
        <f>TEXT(Patient_data[[#This Row],[Appointment_Date]],"mmm-yyyy")</f>
        <v>Dec-2025</v>
      </c>
      <c r="J122" s="3">
        <v>45951</v>
      </c>
      <c r="K122" t="s">
        <v>265</v>
      </c>
      <c r="L122" t="s">
        <v>30</v>
      </c>
      <c r="M122" s="4">
        <v>451.66</v>
      </c>
      <c r="N122" t="s">
        <v>20</v>
      </c>
      <c r="O122">
        <f>Patient_data[[#This Row],[Appointment_Date]]-Patient_data[[#This Row],[Booking_Date]]</f>
        <v>49</v>
      </c>
    </row>
    <row r="123" spans="1:15" x14ac:dyDescent="0.25">
      <c r="A123">
        <v>1088</v>
      </c>
      <c r="B123">
        <v>80</v>
      </c>
      <c r="C123" t="s">
        <v>15</v>
      </c>
      <c r="D123" t="s">
        <v>266</v>
      </c>
      <c r="E123" t="s">
        <v>17</v>
      </c>
      <c r="F123" s="3">
        <v>46087</v>
      </c>
      <c r="G123" s="1">
        <f>YEAR(Patient_data[[#This Row],[Appointment_Date]])</f>
        <v>2026</v>
      </c>
      <c r="H123" s="2" t="str">
        <f>TEXT(Patient_data[[#This Row],[Appointment_Date]],"mmmm")</f>
        <v>March</v>
      </c>
      <c r="I123" s="3" t="str">
        <f>TEXT(Patient_data[[#This Row],[Appointment_Date]],"mmm-yyyy")</f>
        <v>Mar-2026</v>
      </c>
      <c r="J123" s="3">
        <v>45826</v>
      </c>
      <c r="K123" t="s">
        <v>267</v>
      </c>
      <c r="L123" t="s">
        <v>30</v>
      </c>
      <c r="M123" s="4">
        <v>460.11</v>
      </c>
      <c r="N123" t="s">
        <v>24</v>
      </c>
      <c r="O123">
        <f>Patient_data[[#This Row],[Appointment_Date]]-Patient_data[[#This Row],[Booking_Date]]</f>
        <v>261</v>
      </c>
    </row>
    <row r="124" spans="1:15" x14ac:dyDescent="0.25">
      <c r="A124">
        <v>1030</v>
      </c>
      <c r="B124">
        <v>80</v>
      </c>
      <c r="C124" t="s">
        <v>15</v>
      </c>
      <c r="D124" t="s">
        <v>268</v>
      </c>
      <c r="E124" t="s">
        <v>17</v>
      </c>
      <c r="F124" s="3">
        <v>46063</v>
      </c>
      <c r="G124" s="1">
        <f>YEAR(Patient_data[[#This Row],[Appointment_Date]])</f>
        <v>2026</v>
      </c>
      <c r="H124" s="2" t="str">
        <f>TEXT(Patient_data[[#This Row],[Appointment_Date]],"mmmm")</f>
        <v>February</v>
      </c>
      <c r="I124" s="3" t="str">
        <f>TEXT(Patient_data[[#This Row],[Appointment_Date]],"mmm-yyyy")</f>
        <v>Feb-2026</v>
      </c>
      <c r="J124" s="3">
        <v>45674</v>
      </c>
      <c r="K124" t="s">
        <v>269</v>
      </c>
      <c r="L124" t="s">
        <v>30</v>
      </c>
      <c r="M124" s="4">
        <v>85.31</v>
      </c>
      <c r="N124" t="s">
        <v>20</v>
      </c>
      <c r="O124">
        <f>Patient_data[[#This Row],[Appointment_Date]]-Patient_data[[#This Row],[Booking_Date]]</f>
        <v>389</v>
      </c>
    </row>
    <row r="125" spans="1:15" x14ac:dyDescent="0.25">
      <c r="A125">
        <v>1071</v>
      </c>
      <c r="B125">
        <v>80</v>
      </c>
      <c r="C125" t="s">
        <v>15</v>
      </c>
      <c r="D125" t="s">
        <v>270</v>
      </c>
      <c r="E125" t="s">
        <v>17</v>
      </c>
      <c r="F125" s="3">
        <v>45867</v>
      </c>
      <c r="G125" s="1">
        <f>YEAR(Patient_data[[#This Row],[Appointment_Date]])</f>
        <v>2025</v>
      </c>
      <c r="H125" s="2" t="str">
        <f>TEXT(Patient_data[[#This Row],[Appointment_Date]],"mmmm")</f>
        <v>July</v>
      </c>
      <c r="I125" s="3" t="str">
        <f>TEXT(Patient_data[[#This Row],[Appointment_Date]],"mmm-yyyy")</f>
        <v>Jul-2025</v>
      </c>
      <c r="J125" s="3">
        <v>45396</v>
      </c>
      <c r="K125" t="s">
        <v>271</v>
      </c>
      <c r="L125" t="s">
        <v>19</v>
      </c>
      <c r="M125" s="4">
        <v>5.64</v>
      </c>
      <c r="N125" t="s">
        <v>20</v>
      </c>
      <c r="O125">
        <f>Patient_data[[#This Row],[Appointment_Date]]-Patient_data[[#This Row],[Booking_Date]]</f>
        <v>471</v>
      </c>
    </row>
    <row r="126" spans="1:15" x14ac:dyDescent="0.25">
      <c r="A126">
        <v>1005</v>
      </c>
      <c r="B126">
        <v>80</v>
      </c>
      <c r="C126" t="s">
        <v>15</v>
      </c>
      <c r="D126" t="s">
        <v>272</v>
      </c>
      <c r="E126" t="s">
        <v>17</v>
      </c>
      <c r="F126" s="3">
        <v>45793</v>
      </c>
      <c r="G126" s="1">
        <f>YEAR(Patient_data[[#This Row],[Appointment_Date]])</f>
        <v>2025</v>
      </c>
      <c r="H126" s="2" t="str">
        <f>TEXT(Patient_data[[#This Row],[Appointment_Date]],"mmmm")</f>
        <v>May</v>
      </c>
      <c r="I126" s="3" t="str">
        <f>TEXT(Patient_data[[#This Row],[Appointment_Date]],"mmm-yyyy")</f>
        <v>May-2025</v>
      </c>
      <c r="J126" s="3">
        <v>45609</v>
      </c>
      <c r="K126" t="s">
        <v>273</v>
      </c>
      <c r="L126" t="s">
        <v>19</v>
      </c>
      <c r="M126" s="4">
        <v>5.0199999999999996</v>
      </c>
      <c r="N126" t="s">
        <v>24</v>
      </c>
      <c r="O126">
        <f>Patient_data[[#This Row],[Appointment_Date]]-Patient_data[[#This Row],[Booking_Date]]</f>
        <v>184</v>
      </c>
    </row>
    <row r="127" spans="1:15" x14ac:dyDescent="0.25">
      <c r="A127">
        <v>1055</v>
      </c>
      <c r="B127">
        <v>80</v>
      </c>
      <c r="C127" t="s">
        <v>15</v>
      </c>
      <c r="D127" t="s">
        <v>274</v>
      </c>
      <c r="E127" t="s">
        <v>28</v>
      </c>
      <c r="F127" s="3">
        <v>45775</v>
      </c>
      <c r="G127" s="1">
        <f>YEAR(Patient_data[[#This Row],[Appointment_Date]])</f>
        <v>2025</v>
      </c>
      <c r="H127" s="2" t="str">
        <f>TEXT(Patient_data[[#This Row],[Appointment_Date]],"mmmm")</f>
        <v>April</v>
      </c>
      <c r="I127" s="3" t="str">
        <f>TEXT(Patient_data[[#This Row],[Appointment_Date]],"mmm-yyyy")</f>
        <v>Apr-2025</v>
      </c>
      <c r="J127" s="3">
        <v>45381</v>
      </c>
      <c r="K127" t="s">
        <v>275</v>
      </c>
      <c r="L127" t="s">
        <v>19</v>
      </c>
      <c r="M127" s="4">
        <v>49.49</v>
      </c>
      <c r="N127" t="s">
        <v>20</v>
      </c>
      <c r="O127">
        <f>Patient_data[[#This Row],[Appointment_Date]]-Patient_data[[#This Row],[Booking_Date]]</f>
        <v>394</v>
      </c>
    </row>
    <row r="128" spans="1:15" x14ac:dyDescent="0.25">
      <c r="A128">
        <v>1080</v>
      </c>
      <c r="B128">
        <v>80</v>
      </c>
      <c r="C128" t="s">
        <v>15</v>
      </c>
      <c r="D128" t="s">
        <v>276</v>
      </c>
      <c r="E128" t="s">
        <v>17</v>
      </c>
      <c r="F128" s="3">
        <v>46026</v>
      </c>
      <c r="G128" s="1">
        <f>YEAR(Patient_data[[#This Row],[Appointment_Date]])</f>
        <v>2026</v>
      </c>
      <c r="H128" s="2" t="str">
        <f>TEXT(Patient_data[[#This Row],[Appointment_Date]],"mmmm")</f>
        <v>January</v>
      </c>
      <c r="I128" s="3" t="str">
        <f>TEXT(Patient_data[[#This Row],[Appointment_Date]],"mmm-yyyy")</f>
        <v>Jan-2026</v>
      </c>
      <c r="J128" s="3">
        <v>45948</v>
      </c>
      <c r="K128" t="s">
        <v>277</v>
      </c>
      <c r="L128" t="s">
        <v>23</v>
      </c>
      <c r="M128" s="4">
        <v>98.84</v>
      </c>
      <c r="N128" t="s">
        <v>20</v>
      </c>
      <c r="O128">
        <f>Patient_data[[#This Row],[Appointment_Date]]-Patient_data[[#This Row],[Booking_Date]]</f>
        <v>78</v>
      </c>
    </row>
    <row r="129" spans="1:15" x14ac:dyDescent="0.25">
      <c r="A129">
        <v>1086</v>
      </c>
      <c r="B129">
        <v>80</v>
      </c>
      <c r="C129" t="s">
        <v>15</v>
      </c>
      <c r="D129" t="s">
        <v>278</v>
      </c>
      <c r="E129" t="s">
        <v>17</v>
      </c>
      <c r="F129" s="3">
        <v>45985</v>
      </c>
      <c r="G129" s="1">
        <f>YEAR(Patient_data[[#This Row],[Appointment_Date]])</f>
        <v>2025</v>
      </c>
      <c r="H129" s="2" t="str">
        <f>TEXT(Patient_data[[#This Row],[Appointment_Date]],"mmmm")</f>
        <v>November</v>
      </c>
      <c r="I129" s="3" t="str">
        <f>TEXT(Patient_data[[#This Row],[Appointment_Date]],"mmm-yyyy")</f>
        <v>Nov-2025</v>
      </c>
      <c r="J129" s="3">
        <v>45655</v>
      </c>
      <c r="K129" t="s">
        <v>279</v>
      </c>
      <c r="L129" t="s">
        <v>30</v>
      </c>
      <c r="M129" s="4">
        <v>226.12</v>
      </c>
      <c r="N129" t="s">
        <v>24</v>
      </c>
      <c r="O129">
        <f>Patient_data[[#This Row],[Appointment_Date]]-Patient_data[[#This Row],[Booking_Date]]</f>
        <v>330</v>
      </c>
    </row>
    <row r="130" spans="1:15" x14ac:dyDescent="0.25">
      <c r="A130">
        <v>1065</v>
      </c>
      <c r="B130">
        <v>80</v>
      </c>
      <c r="C130" t="s">
        <v>15</v>
      </c>
      <c r="D130" t="s">
        <v>280</v>
      </c>
      <c r="E130" t="s">
        <v>28</v>
      </c>
      <c r="F130" s="3">
        <v>45788</v>
      </c>
      <c r="G130" s="1">
        <f>YEAR(Patient_data[[#This Row],[Appointment_Date]])</f>
        <v>2025</v>
      </c>
      <c r="H130" s="2" t="str">
        <f>TEXT(Patient_data[[#This Row],[Appointment_Date]],"mmmm")</f>
        <v>May</v>
      </c>
      <c r="I130" s="3" t="str">
        <f>TEXT(Patient_data[[#This Row],[Appointment_Date]],"mmm-yyyy")</f>
        <v>May-2025</v>
      </c>
      <c r="J130" s="3">
        <v>45587</v>
      </c>
      <c r="K130" t="s">
        <v>281</v>
      </c>
      <c r="L130" t="s">
        <v>30</v>
      </c>
      <c r="M130" s="4">
        <v>125.35</v>
      </c>
      <c r="N130" t="s">
        <v>20</v>
      </c>
      <c r="O130">
        <f>Patient_data[[#This Row],[Appointment_Date]]-Patient_data[[#This Row],[Booking_Date]]</f>
        <v>201</v>
      </c>
    </row>
    <row r="131" spans="1:15" x14ac:dyDescent="0.25">
      <c r="A131">
        <v>1043</v>
      </c>
      <c r="B131">
        <v>80</v>
      </c>
      <c r="C131" t="s">
        <v>15</v>
      </c>
      <c r="D131" t="s">
        <v>282</v>
      </c>
      <c r="E131" t="s">
        <v>28</v>
      </c>
      <c r="F131" s="3">
        <v>45928</v>
      </c>
      <c r="G131" s="1">
        <f>YEAR(Patient_data[[#This Row],[Appointment_Date]])</f>
        <v>2025</v>
      </c>
      <c r="H131" s="2" t="str">
        <f>TEXT(Patient_data[[#This Row],[Appointment_Date]],"mmmm")</f>
        <v>September</v>
      </c>
      <c r="I131" s="3" t="str">
        <f>TEXT(Patient_data[[#This Row],[Appointment_Date]],"mmm-yyyy")</f>
        <v>Sep-2025</v>
      </c>
      <c r="J131" s="3">
        <v>45534</v>
      </c>
      <c r="K131" t="s">
        <v>283</v>
      </c>
      <c r="L131" t="s">
        <v>19</v>
      </c>
      <c r="M131" s="4">
        <v>4.72</v>
      </c>
      <c r="N131" t="s">
        <v>24</v>
      </c>
      <c r="O131">
        <f>Patient_data[[#This Row],[Appointment_Date]]-Patient_data[[#This Row],[Booking_Date]]</f>
        <v>394</v>
      </c>
    </row>
    <row r="132" spans="1:15" x14ac:dyDescent="0.25">
      <c r="A132">
        <v>1052</v>
      </c>
      <c r="B132">
        <v>80</v>
      </c>
      <c r="C132" t="s">
        <v>15</v>
      </c>
      <c r="D132" t="s">
        <v>284</v>
      </c>
      <c r="E132" t="s">
        <v>17</v>
      </c>
      <c r="F132" s="3">
        <v>45781</v>
      </c>
      <c r="G132" s="1">
        <f>YEAR(Patient_data[[#This Row],[Appointment_Date]])</f>
        <v>2025</v>
      </c>
      <c r="H132" s="2" t="str">
        <f>TEXT(Patient_data[[#This Row],[Appointment_Date]],"mmmm")</f>
        <v>May</v>
      </c>
      <c r="I132" s="3" t="str">
        <f>TEXT(Patient_data[[#This Row],[Appointment_Date]],"mmm-yyyy")</f>
        <v>May-2025</v>
      </c>
      <c r="J132" s="3">
        <v>45555</v>
      </c>
      <c r="K132" t="s">
        <v>285</v>
      </c>
      <c r="L132" t="s">
        <v>30</v>
      </c>
      <c r="M132" s="4">
        <v>24.09</v>
      </c>
      <c r="N132" t="s">
        <v>20</v>
      </c>
      <c r="O132">
        <f>Patient_data[[#This Row],[Appointment_Date]]-Patient_data[[#This Row],[Booking_Date]]</f>
        <v>226</v>
      </c>
    </row>
    <row r="133" spans="1:15" x14ac:dyDescent="0.25">
      <c r="A133">
        <v>1088</v>
      </c>
      <c r="B133">
        <v>80</v>
      </c>
      <c r="C133" t="s">
        <v>15</v>
      </c>
      <c r="D133" t="s">
        <v>286</v>
      </c>
      <c r="E133" t="s">
        <v>28</v>
      </c>
      <c r="F133" s="3">
        <v>45839</v>
      </c>
      <c r="G133" s="1">
        <f>YEAR(Patient_data[[#This Row],[Appointment_Date]])</f>
        <v>2025</v>
      </c>
      <c r="H133" s="2" t="str">
        <f>TEXT(Patient_data[[#This Row],[Appointment_Date]],"mmmm")</f>
        <v>July</v>
      </c>
      <c r="I133" s="3" t="str">
        <f>TEXT(Patient_data[[#This Row],[Appointment_Date]],"mmm-yyyy")</f>
        <v>Jul-2025</v>
      </c>
      <c r="J133" s="3">
        <v>45608</v>
      </c>
      <c r="K133" t="s">
        <v>287</v>
      </c>
      <c r="L133" t="s">
        <v>23</v>
      </c>
      <c r="M133" s="4">
        <v>417.42</v>
      </c>
      <c r="N133" t="s">
        <v>24</v>
      </c>
      <c r="O133">
        <f>Patient_data[[#This Row],[Appointment_Date]]-Patient_data[[#This Row],[Booking_Date]]</f>
        <v>231</v>
      </c>
    </row>
    <row r="134" spans="1:15" x14ac:dyDescent="0.25">
      <c r="A134">
        <v>1074</v>
      </c>
      <c r="B134">
        <v>80</v>
      </c>
      <c r="C134" t="s">
        <v>15</v>
      </c>
      <c r="D134" t="s">
        <v>288</v>
      </c>
      <c r="E134" t="s">
        <v>17</v>
      </c>
      <c r="F134" s="3">
        <v>45972</v>
      </c>
      <c r="G134" s="1">
        <f>YEAR(Patient_data[[#This Row],[Appointment_Date]])</f>
        <v>2025</v>
      </c>
      <c r="H134" s="2" t="str">
        <f>TEXT(Patient_data[[#This Row],[Appointment_Date]],"mmmm")</f>
        <v>November</v>
      </c>
      <c r="I134" s="3" t="str">
        <f>TEXT(Patient_data[[#This Row],[Appointment_Date]],"mmm-yyyy")</f>
        <v>Nov-2025</v>
      </c>
      <c r="J134" s="3">
        <v>45797</v>
      </c>
      <c r="K134" t="s">
        <v>289</v>
      </c>
      <c r="L134" t="s">
        <v>19</v>
      </c>
      <c r="M134" s="4">
        <v>467.55</v>
      </c>
      <c r="N134" t="s">
        <v>20</v>
      </c>
      <c r="O134">
        <f>Patient_data[[#This Row],[Appointment_Date]]-Patient_data[[#This Row],[Booking_Date]]</f>
        <v>175</v>
      </c>
    </row>
    <row r="135" spans="1:15" x14ac:dyDescent="0.25">
      <c r="A135">
        <v>1021</v>
      </c>
      <c r="B135">
        <v>80</v>
      </c>
      <c r="C135" t="s">
        <v>15</v>
      </c>
      <c r="D135" t="s">
        <v>290</v>
      </c>
      <c r="E135" t="s">
        <v>28</v>
      </c>
      <c r="F135" s="3">
        <v>45823</v>
      </c>
      <c r="G135" s="1">
        <f>YEAR(Patient_data[[#This Row],[Appointment_Date]])</f>
        <v>2025</v>
      </c>
      <c r="H135" s="2" t="str">
        <f>TEXT(Patient_data[[#This Row],[Appointment_Date]],"mmmm")</f>
        <v>June</v>
      </c>
      <c r="I135" s="3" t="str">
        <f>TEXT(Patient_data[[#This Row],[Appointment_Date]],"mmm-yyyy")</f>
        <v>Jun-2025</v>
      </c>
      <c r="J135" s="3">
        <v>45521</v>
      </c>
      <c r="K135" t="s">
        <v>291</v>
      </c>
      <c r="L135" t="s">
        <v>43</v>
      </c>
      <c r="M135" s="4">
        <v>69.349999999999994</v>
      </c>
      <c r="N135" t="s">
        <v>24</v>
      </c>
      <c r="O135">
        <f>Patient_data[[#This Row],[Appointment_Date]]-Patient_data[[#This Row],[Booking_Date]]</f>
        <v>302</v>
      </c>
    </row>
    <row r="136" spans="1:15" x14ac:dyDescent="0.25">
      <c r="A136">
        <v>1067</v>
      </c>
      <c r="B136">
        <v>79</v>
      </c>
      <c r="C136" t="s">
        <v>15</v>
      </c>
      <c r="D136" t="s">
        <v>292</v>
      </c>
      <c r="E136" t="s">
        <v>17</v>
      </c>
      <c r="F136" s="3">
        <v>45991</v>
      </c>
      <c r="G136" s="1">
        <f>YEAR(Patient_data[[#This Row],[Appointment_Date]])</f>
        <v>2025</v>
      </c>
      <c r="H136" s="2" t="str">
        <f>TEXT(Patient_data[[#This Row],[Appointment_Date]],"mmmm")</f>
        <v>November</v>
      </c>
      <c r="I136" s="3" t="str">
        <f>TEXT(Patient_data[[#This Row],[Appointment_Date]],"mmm-yyyy")</f>
        <v>Nov-2025</v>
      </c>
      <c r="J136" s="3">
        <v>45509</v>
      </c>
      <c r="K136" t="s">
        <v>293</v>
      </c>
      <c r="L136" t="s">
        <v>19</v>
      </c>
      <c r="M136" s="4">
        <v>3.34</v>
      </c>
      <c r="N136" t="s">
        <v>24</v>
      </c>
      <c r="O136">
        <f>Patient_data[[#This Row],[Appointment_Date]]-Patient_data[[#This Row],[Booking_Date]]</f>
        <v>482</v>
      </c>
    </row>
    <row r="137" spans="1:15" x14ac:dyDescent="0.25">
      <c r="A137">
        <v>1093</v>
      </c>
      <c r="B137">
        <v>79</v>
      </c>
      <c r="C137" t="s">
        <v>15</v>
      </c>
      <c r="D137" t="s">
        <v>294</v>
      </c>
      <c r="E137" t="s">
        <v>28</v>
      </c>
      <c r="F137" s="3">
        <v>45745</v>
      </c>
      <c r="G137" s="1">
        <f>YEAR(Patient_data[[#This Row],[Appointment_Date]])</f>
        <v>2025</v>
      </c>
      <c r="H137" s="2" t="str">
        <f>TEXT(Patient_data[[#This Row],[Appointment_Date]],"mmmm")</f>
        <v>March</v>
      </c>
      <c r="I137" s="3" t="str">
        <f>TEXT(Patient_data[[#This Row],[Appointment_Date]],"mmm-yyyy")</f>
        <v>Mar-2025</v>
      </c>
      <c r="J137" s="3">
        <v>45470</v>
      </c>
      <c r="K137" t="s">
        <v>295</v>
      </c>
      <c r="L137" t="s">
        <v>43</v>
      </c>
      <c r="M137" s="4">
        <v>54.29</v>
      </c>
      <c r="N137" t="s">
        <v>24</v>
      </c>
      <c r="O137">
        <f>Patient_data[[#This Row],[Appointment_Date]]-Patient_data[[#This Row],[Booking_Date]]</f>
        <v>275</v>
      </c>
    </row>
    <row r="138" spans="1:15" x14ac:dyDescent="0.25">
      <c r="A138">
        <v>1038</v>
      </c>
      <c r="B138">
        <v>79</v>
      </c>
      <c r="C138" t="s">
        <v>15</v>
      </c>
      <c r="D138" t="s">
        <v>296</v>
      </c>
      <c r="E138" t="s">
        <v>28</v>
      </c>
      <c r="F138" s="3">
        <v>45790</v>
      </c>
      <c r="G138" s="1">
        <f>YEAR(Patient_data[[#This Row],[Appointment_Date]])</f>
        <v>2025</v>
      </c>
      <c r="H138" s="2" t="str">
        <f>TEXT(Patient_data[[#This Row],[Appointment_Date]],"mmmm")</f>
        <v>May</v>
      </c>
      <c r="I138" s="3" t="str">
        <f>TEXT(Patient_data[[#This Row],[Appointment_Date]],"mmm-yyyy")</f>
        <v>May-2025</v>
      </c>
      <c r="J138" s="3">
        <v>45537</v>
      </c>
      <c r="K138" t="s">
        <v>297</v>
      </c>
      <c r="L138" t="s">
        <v>43</v>
      </c>
      <c r="M138" s="4">
        <v>2.84</v>
      </c>
      <c r="N138" t="s">
        <v>20</v>
      </c>
      <c r="O138">
        <f>Patient_data[[#This Row],[Appointment_Date]]-Patient_data[[#This Row],[Booking_Date]]</f>
        <v>253</v>
      </c>
    </row>
    <row r="139" spans="1:15" x14ac:dyDescent="0.25">
      <c r="A139">
        <v>1059</v>
      </c>
      <c r="B139">
        <v>79</v>
      </c>
      <c r="C139" t="s">
        <v>15</v>
      </c>
      <c r="D139" t="s">
        <v>298</v>
      </c>
      <c r="E139" t="s">
        <v>17</v>
      </c>
      <c r="F139" s="3">
        <v>45893</v>
      </c>
      <c r="G139" s="1">
        <f>YEAR(Patient_data[[#This Row],[Appointment_Date]])</f>
        <v>2025</v>
      </c>
      <c r="H139" s="2" t="str">
        <f>TEXT(Patient_data[[#This Row],[Appointment_Date]],"mmmm")</f>
        <v>August</v>
      </c>
      <c r="I139" s="3" t="str">
        <f>TEXT(Patient_data[[#This Row],[Appointment_Date]],"mmm-yyyy")</f>
        <v>Aug-2025</v>
      </c>
      <c r="J139" s="3">
        <v>45890</v>
      </c>
      <c r="K139" t="s">
        <v>299</v>
      </c>
      <c r="L139" t="s">
        <v>43</v>
      </c>
      <c r="M139" s="4">
        <v>6.64</v>
      </c>
      <c r="N139" t="s">
        <v>24</v>
      </c>
      <c r="O139">
        <f>Patient_data[[#This Row],[Appointment_Date]]-Patient_data[[#This Row],[Booking_Date]]</f>
        <v>3</v>
      </c>
    </row>
    <row r="140" spans="1:15" x14ac:dyDescent="0.25">
      <c r="A140">
        <v>1014</v>
      </c>
      <c r="B140">
        <v>79</v>
      </c>
      <c r="C140" t="s">
        <v>15</v>
      </c>
      <c r="D140" t="s">
        <v>300</v>
      </c>
      <c r="E140" t="s">
        <v>17</v>
      </c>
      <c r="F140" s="3">
        <v>46050</v>
      </c>
      <c r="G140" s="1">
        <f>YEAR(Patient_data[[#This Row],[Appointment_Date]])</f>
        <v>2026</v>
      </c>
      <c r="H140" s="2" t="str">
        <f>TEXT(Patient_data[[#This Row],[Appointment_Date]],"mmmm")</f>
        <v>January</v>
      </c>
      <c r="I140" s="3" t="str">
        <f>TEXT(Patient_data[[#This Row],[Appointment_Date]],"mmm-yyyy")</f>
        <v>Jan-2026</v>
      </c>
      <c r="J140" s="3">
        <v>45385</v>
      </c>
      <c r="K140" t="s">
        <v>301</v>
      </c>
      <c r="L140" t="s">
        <v>19</v>
      </c>
      <c r="M140" s="4">
        <v>341.27</v>
      </c>
      <c r="N140" t="s">
        <v>24</v>
      </c>
      <c r="O140">
        <f>Patient_data[[#This Row],[Appointment_Date]]-Patient_data[[#This Row],[Booking_Date]]</f>
        <v>665</v>
      </c>
    </row>
    <row r="141" spans="1:15" x14ac:dyDescent="0.25">
      <c r="A141">
        <v>1084</v>
      </c>
      <c r="B141">
        <v>79</v>
      </c>
      <c r="C141" t="s">
        <v>15</v>
      </c>
      <c r="D141" t="s">
        <v>302</v>
      </c>
      <c r="E141" t="s">
        <v>28</v>
      </c>
      <c r="F141" s="3">
        <v>46014</v>
      </c>
      <c r="G141" s="1">
        <f>YEAR(Patient_data[[#This Row],[Appointment_Date]])</f>
        <v>2025</v>
      </c>
      <c r="H141" s="2" t="str">
        <f>TEXT(Patient_data[[#This Row],[Appointment_Date]],"mmmm")</f>
        <v>December</v>
      </c>
      <c r="I141" s="3" t="str">
        <f>TEXT(Patient_data[[#This Row],[Appointment_Date]],"mmm-yyyy")</f>
        <v>Dec-2025</v>
      </c>
      <c r="J141" s="3">
        <v>45669</v>
      </c>
      <c r="K141" t="s">
        <v>303</v>
      </c>
      <c r="L141" t="s">
        <v>19</v>
      </c>
      <c r="M141" s="4">
        <v>26.87</v>
      </c>
      <c r="N141" t="s">
        <v>24</v>
      </c>
      <c r="O141">
        <f>Patient_data[[#This Row],[Appointment_Date]]-Patient_data[[#This Row],[Booking_Date]]</f>
        <v>345</v>
      </c>
    </row>
    <row r="142" spans="1:15" x14ac:dyDescent="0.25">
      <c r="A142">
        <v>1092</v>
      </c>
      <c r="B142">
        <v>79</v>
      </c>
      <c r="C142" t="s">
        <v>15</v>
      </c>
      <c r="D142" t="s">
        <v>304</v>
      </c>
      <c r="E142" t="s">
        <v>28</v>
      </c>
      <c r="F142" s="3">
        <v>45909</v>
      </c>
      <c r="G142" s="1">
        <f>YEAR(Patient_data[[#This Row],[Appointment_Date]])</f>
        <v>2025</v>
      </c>
      <c r="H142" s="2" t="str">
        <f>TEXT(Patient_data[[#This Row],[Appointment_Date]],"mmmm")</f>
        <v>September</v>
      </c>
      <c r="I142" s="3" t="str">
        <f>TEXT(Patient_data[[#This Row],[Appointment_Date]],"mmm-yyyy")</f>
        <v>Sep-2025</v>
      </c>
      <c r="J142" s="3">
        <v>45690</v>
      </c>
      <c r="K142" t="s">
        <v>305</v>
      </c>
      <c r="L142" t="s">
        <v>19</v>
      </c>
      <c r="M142" s="4">
        <v>87.57</v>
      </c>
      <c r="N142" t="s">
        <v>20</v>
      </c>
      <c r="O142">
        <f>Patient_data[[#This Row],[Appointment_Date]]-Patient_data[[#This Row],[Booking_Date]]</f>
        <v>219</v>
      </c>
    </row>
    <row r="143" spans="1:15" x14ac:dyDescent="0.25">
      <c r="A143">
        <v>1044</v>
      </c>
      <c r="B143">
        <v>79</v>
      </c>
      <c r="C143" t="s">
        <v>15</v>
      </c>
      <c r="D143" t="s">
        <v>306</v>
      </c>
      <c r="E143" t="s">
        <v>17</v>
      </c>
      <c r="F143" s="3">
        <v>46014</v>
      </c>
      <c r="G143" s="1">
        <f>YEAR(Patient_data[[#This Row],[Appointment_Date]])</f>
        <v>2025</v>
      </c>
      <c r="H143" s="2" t="str">
        <f>TEXT(Patient_data[[#This Row],[Appointment_Date]],"mmmm")</f>
        <v>December</v>
      </c>
      <c r="I143" s="3" t="str">
        <f>TEXT(Patient_data[[#This Row],[Appointment_Date]],"mmm-yyyy")</f>
        <v>Dec-2025</v>
      </c>
      <c r="J143" s="3">
        <v>45707</v>
      </c>
      <c r="K143" t="s">
        <v>307</v>
      </c>
      <c r="L143" t="s">
        <v>23</v>
      </c>
      <c r="M143" s="4">
        <v>22</v>
      </c>
      <c r="N143" t="s">
        <v>24</v>
      </c>
      <c r="O143">
        <f>Patient_data[[#This Row],[Appointment_Date]]-Patient_data[[#This Row],[Booking_Date]]</f>
        <v>307</v>
      </c>
    </row>
    <row r="144" spans="1:15" x14ac:dyDescent="0.25">
      <c r="A144">
        <v>1088</v>
      </c>
      <c r="B144">
        <v>79</v>
      </c>
      <c r="C144" t="s">
        <v>15</v>
      </c>
      <c r="D144" t="s">
        <v>308</v>
      </c>
      <c r="E144" t="s">
        <v>17</v>
      </c>
      <c r="F144" s="3">
        <v>45982</v>
      </c>
      <c r="G144" s="1">
        <f>YEAR(Patient_data[[#This Row],[Appointment_Date]])</f>
        <v>2025</v>
      </c>
      <c r="H144" s="2" t="str">
        <f>TEXT(Patient_data[[#This Row],[Appointment_Date]],"mmmm")</f>
        <v>November</v>
      </c>
      <c r="I144" s="3" t="str">
        <f>TEXT(Patient_data[[#This Row],[Appointment_Date]],"mmm-yyyy")</f>
        <v>Nov-2025</v>
      </c>
      <c r="J144" s="3">
        <v>45911</v>
      </c>
      <c r="K144" t="s">
        <v>309</v>
      </c>
      <c r="L144" t="s">
        <v>43</v>
      </c>
      <c r="M144" s="4">
        <v>37.15</v>
      </c>
      <c r="N144" t="s">
        <v>20</v>
      </c>
      <c r="O144">
        <f>Patient_data[[#This Row],[Appointment_Date]]-Patient_data[[#This Row],[Booking_Date]]</f>
        <v>71</v>
      </c>
    </row>
    <row r="145" spans="1:15" x14ac:dyDescent="0.25">
      <c r="A145">
        <v>1076</v>
      </c>
      <c r="B145">
        <v>79</v>
      </c>
      <c r="C145" t="s">
        <v>15</v>
      </c>
      <c r="D145" t="s">
        <v>310</v>
      </c>
      <c r="E145" t="s">
        <v>17</v>
      </c>
      <c r="F145" s="3">
        <v>46074</v>
      </c>
      <c r="G145" s="1">
        <f>YEAR(Patient_data[[#This Row],[Appointment_Date]])</f>
        <v>2026</v>
      </c>
      <c r="H145" s="2" t="str">
        <f>TEXT(Patient_data[[#This Row],[Appointment_Date]],"mmmm")</f>
        <v>February</v>
      </c>
      <c r="I145" s="3" t="str">
        <f>TEXT(Patient_data[[#This Row],[Appointment_Date]],"mmm-yyyy")</f>
        <v>Feb-2026</v>
      </c>
      <c r="J145" s="3">
        <v>45512</v>
      </c>
      <c r="K145" t="s">
        <v>311</v>
      </c>
      <c r="L145" t="s">
        <v>43</v>
      </c>
      <c r="M145" s="4">
        <v>20.7</v>
      </c>
      <c r="N145" t="s">
        <v>24</v>
      </c>
      <c r="O145">
        <f>Patient_data[[#This Row],[Appointment_Date]]-Patient_data[[#This Row],[Booking_Date]]</f>
        <v>562</v>
      </c>
    </row>
    <row r="146" spans="1:15" x14ac:dyDescent="0.25">
      <c r="A146">
        <v>1003</v>
      </c>
      <c r="B146">
        <v>79</v>
      </c>
      <c r="C146" t="s">
        <v>15</v>
      </c>
      <c r="D146" t="s">
        <v>312</v>
      </c>
      <c r="E146" t="s">
        <v>17</v>
      </c>
      <c r="F146" s="3">
        <v>45966</v>
      </c>
      <c r="G146" s="1">
        <f>YEAR(Patient_data[[#This Row],[Appointment_Date]])</f>
        <v>2025</v>
      </c>
      <c r="H146" s="2" t="str">
        <f>TEXT(Patient_data[[#This Row],[Appointment_Date]],"mmmm")</f>
        <v>November</v>
      </c>
      <c r="I146" s="3" t="str">
        <f>TEXT(Patient_data[[#This Row],[Appointment_Date]],"mmm-yyyy")</f>
        <v>Nov-2025</v>
      </c>
      <c r="J146" s="3">
        <v>45495</v>
      </c>
      <c r="K146" t="s">
        <v>313</v>
      </c>
      <c r="L146" t="s">
        <v>30</v>
      </c>
      <c r="M146" s="4">
        <v>2.23</v>
      </c>
      <c r="N146" t="s">
        <v>24</v>
      </c>
      <c r="O146">
        <f>Patient_data[[#This Row],[Appointment_Date]]-Patient_data[[#This Row],[Booking_Date]]</f>
        <v>471</v>
      </c>
    </row>
    <row r="147" spans="1:15" x14ac:dyDescent="0.25">
      <c r="A147">
        <v>1018</v>
      </c>
      <c r="B147">
        <v>78</v>
      </c>
      <c r="C147" t="s">
        <v>15</v>
      </c>
      <c r="D147" t="s">
        <v>314</v>
      </c>
      <c r="E147" t="s">
        <v>28</v>
      </c>
      <c r="F147" s="3">
        <v>45869</v>
      </c>
      <c r="G147" s="1">
        <f>YEAR(Patient_data[[#This Row],[Appointment_Date]])</f>
        <v>2025</v>
      </c>
      <c r="H147" s="2" t="str">
        <f>TEXT(Patient_data[[#This Row],[Appointment_Date]],"mmmm")</f>
        <v>July</v>
      </c>
      <c r="I147" s="3" t="str">
        <f>TEXT(Patient_data[[#This Row],[Appointment_Date]],"mmm-yyyy")</f>
        <v>Jul-2025</v>
      </c>
      <c r="J147" s="3">
        <v>45832</v>
      </c>
      <c r="K147" t="s">
        <v>315</v>
      </c>
      <c r="L147" t="s">
        <v>23</v>
      </c>
      <c r="M147" s="4">
        <v>49.8</v>
      </c>
      <c r="N147" t="s">
        <v>24</v>
      </c>
      <c r="O147">
        <f>Patient_data[[#This Row],[Appointment_Date]]-Patient_data[[#This Row],[Booking_Date]]</f>
        <v>37</v>
      </c>
    </row>
    <row r="148" spans="1:15" x14ac:dyDescent="0.25">
      <c r="A148">
        <v>1054</v>
      </c>
      <c r="B148">
        <v>78</v>
      </c>
      <c r="C148" t="s">
        <v>15</v>
      </c>
      <c r="D148" t="s">
        <v>316</v>
      </c>
      <c r="E148" t="s">
        <v>17</v>
      </c>
      <c r="F148" s="3">
        <v>46016</v>
      </c>
      <c r="G148" s="1">
        <f>YEAR(Patient_data[[#This Row],[Appointment_Date]])</f>
        <v>2025</v>
      </c>
      <c r="H148" s="2" t="str">
        <f>TEXT(Patient_data[[#This Row],[Appointment_Date]],"mmmm")</f>
        <v>December</v>
      </c>
      <c r="I148" s="3" t="str">
        <f>TEXT(Patient_data[[#This Row],[Appointment_Date]],"mmm-yyyy")</f>
        <v>Dec-2025</v>
      </c>
      <c r="J148" s="3">
        <v>45639</v>
      </c>
      <c r="K148" t="s">
        <v>317</v>
      </c>
      <c r="L148" t="s">
        <v>19</v>
      </c>
      <c r="M148" s="4">
        <v>70.37</v>
      </c>
      <c r="N148" t="s">
        <v>20</v>
      </c>
      <c r="O148">
        <f>Patient_data[[#This Row],[Appointment_Date]]-Patient_data[[#This Row],[Booking_Date]]</f>
        <v>377</v>
      </c>
    </row>
    <row r="149" spans="1:15" x14ac:dyDescent="0.25">
      <c r="A149">
        <v>1016</v>
      </c>
      <c r="B149">
        <v>78</v>
      </c>
      <c r="C149" t="s">
        <v>15</v>
      </c>
      <c r="D149" t="s">
        <v>318</v>
      </c>
      <c r="E149" t="s">
        <v>28</v>
      </c>
      <c r="F149" s="3">
        <v>45798</v>
      </c>
      <c r="G149" s="1">
        <f>YEAR(Patient_data[[#This Row],[Appointment_Date]])</f>
        <v>2025</v>
      </c>
      <c r="H149" s="2" t="str">
        <f>TEXT(Patient_data[[#This Row],[Appointment_Date]],"mmmm")</f>
        <v>May</v>
      </c>
      <c r="I149" s="3" t="str">
        <f>TEXT(Patient_data[[#This Row],[Appointment_Date]],"mmm-yyyy")</f>
        <v>May-2025</v>
      </c>
      <c r="J149" s="3">
        <v>45522</v>
      </c>
      <c r="K149" t="s">
        <v>319</v>
      </c>
      <c r="L149" t="s">
        <v>19</v>
      </c>
      <c r="M149" s="4">
        <v>92.45</v>
      </c>
      <c r="N149" t="s">
        <v>24</v>
      </c>
      <c r="O149">
        <f>Patient_data[[#This Row],[Appointment_Date]]-Patient_data[[#This Row],[Booking_Date]]</f>
        <v>276</v>
      </c>
    </row>
    <row r="150" spans="1:15" x14ac:dyDescent="0.25">
      <c r="A150">
        <v>1084</v>
      </c>
      <c r="B150">
        <v>78</v>
      </c>
      <c r="C150" t="s">
        <v>15</v>
      </c>
      <c r="D150" t="s">
        <v>320</v>
      </c>
      <c r="E150" t="s">
        <v>17</v>
      </c>
      <c r="F150" s="3">
        <v>46064</v>
      </c>
      <c r="G150" s="1">
        <f>YEAR(Patient_data[[#This Row],[Appointment_Date]])</f>
        <v>2026</v>
      </c>
      <c r="H150" s="2" t="str">
        <f>TEXT(Patient_data[[#This Row],[Appointment_Date]],"mmmm")</f>
        <v>February</v>
      </c>
      <c r="I150" s="3" t="str">
        <f>TEXT(Patient_data[[#This Row],[Appointment_Date]],"mmm-yyyy")</f>
        <v>Feb-2026</v>
      </c>
      <c r="J150" s="3">
        <v>45610</v>
      </c>
      <c r="K150" t="s">
        <v>321</v>
      </c>
      <c r="L150" t="s">
        <v>19</v>
      </c>
      <c r="M150" s="4">
        <v>68.010000000000005</v>
      </c>
      <c r="N150" t="s">
        <v>20</v>
      </c>
      <c r="O150">
        <f>Patient_data[[#This Row],[Appointment_Date]]-Patient_data[[#This Row],[Booking_Date]]</f>
        <v>454</v>
      </c>
    </row>
    <row r="151" spans="1:15" x14ac:dyDescent="0.25">
      <c r="A151">
        <v>1001</v>
      </c>
      <c r="B151">
        <v>78</v>
      </c>
      <c r="C151" t="s">
        <v>15</v>
      </c>
      <c r="D151" t="s">
        <v>322</v>
      </c>
      <c r="E151" t="s">
        <v>17</v>
      </c>
      <c r="F151" s="3">
        <v>45887</v>
      </c>
      <c r="G151" s="1">
        <f>YEAR(Patient_data[[#This Row],[Appointment_Date]])</f>
        <v>2025</v>
      </c>
      <c r="H151" s="2" t="str">
        <f>TEXT(Patient_data[[#This Row],[Appointment_Date]],"mmmm")</f>
        <v>August</v>
      </c>
      <c r="I151" s="3" t="str">
        <f>TEXT(Patient_data[[#This Row],[Appointment_Date]],"mmm-yyyy")</f>
        <v>Aug-2025</v>
      </c>
      <c r="J151" s="3">
        <v>45438</v>
      </c>
      <c r="K151" t="s">
        <v>323</v>
      </c>
      <c r="L151" t="s">
        <v>19</v>
      </c>
      <c r="M151" s="4">
        <v>63.58</v>
      </c>
      <c r="N151" t="s">
        <v>20</v>
      </c>
      <c r="O151">
        <f>Patient_data[[#This Row],[Appointment_Date]]-Patient_data[[#This Row],[Booking_Date]]</f>
        <v>449</v>
      </c>
    </row>
    <row r="152" spans="1:15" x14ac:dyDescent="0.25">
      <c r="A152">
        <v>1077</v>
      </c>
      <c r="B152">
        <v>78</v>
      </c>
      <c r="C152" t="s">
        <v>15</v>
      </c>
      <c r="D152" t="s">
        <v>324</v>
      </c>
      <c r="E152" t="s">
        <v>17</v>
      </c>
      <c r="F152" s="3">
        <v>46010</v>
      </c>
      <c r="G152" s="1">
        <f>YEAR(Patient_data[[#This Row],[Appointment_Date]])</f>
        <v>2025</v>
      </c>
      <c r="H152" s="2" t="str">
        <f>TEXT(Patient_data[[#This Row],[Appointment_Date]],"mmmm")</f>
        <v>December</v>
      </c>
      <c r="I152" s="3" t="str">
        <f>TEXT(Patient_data[[#This Row],[Appointment_Date]],"mmm-yyyy")</f>
        <v>Dec-2025</v>
      </c>
      <c r="J152" s="3">
        <v>45915</v>
      </c>
      <c r="K152" t="s">
        <v>325</v>
      </c>
      <c r="L152" t="s">
        <v>43</v>
      </c>
      <c r="M152" s="4">
        <v>20.38</v>
      </c>
      <c r="N152" t="s">
        <v>24</v>
      </c>
      <c r="O152">
        <f>Patient_data[[#This Row],[Appointment_Date]]-Patient_data[[#This Row],[Booking_Date]]</f>
        <v>95</v>
      </c>
    </row>
    <row r="153" spans="1:15" x14ac:dyDescent="0.25">
      <c r="A153">
        <v>1087</v>
      </c>
      <c r="B153">
        <v>78</v>
      </c>
      <c r="C153" t="s">
        <v>15</v>
      </c>
      <c r="D153" t="s">
        <v>326</v>
      </c>
      <c r="E153" t="s">
        <v>17</v>
      </c>
      <c r="F153" s="3">
        <v>46044</v>
      </c>
      <c r="G153" s="1">
        <f>YEAR(Patient_data[[#This Row],[Appointment_Date]])</f>
        <v>2026</v>
      </c>
      <c r="H153" s="2" t="str">
        <f>TEXT(Patient_data[[#This Row],[Appointment_Date]],"mmmm")</f>
        <v>January</v>
      </c>
      <c r="I153" s="3" t="str">
        <f>TEXT(Patient_data[[#This Row],[Appointment_Date]],"mmm-yyyy")</f>
        <v>Jan-2026</v>
      </c>
      <c r="J153" s="3">
        <v>45815</v>
      </c>
      <c r="K153" t="s">
        <v>327</v>
      </c>
      <c r="L153" t="s">
        <v>23</v>
      </c>
      <c r="M153" s="4">
        <v>23.28</v>
      </c>
      <c r="N153" t="s">
        <v>20</v>
      </c>
      <c r="O153">
        <f>Patient_data[[#This Row],[Appointment_Date]]-Patient_data[[#This Row],[Booking_Date]]</f>
        <v>229</v>
      </c>
    </row>
    <row r="154" spans="1:15" x14ac:dyDescent="0.25">
      <c r="A154">
        <v>1080</v>
      </c>
      <c r="B154">
        <v>78</v>
      </c>
      <c r="C154" t="s">
        <v>15</v>
      </c>
      <c r="D154" t="s">
        <v>328</v>
      </c>
      <c r="E154" t="s">
        <v>17</v>
      </c>
      <c r="F154" s="3">
        <v>46055</v>
      </c>
      <c r="G154" s="1">
        <f>YEAR(Patient_data[[#This Row],[Appointment_Date]])</f>
        <v>2026</v>
      </c>
      <c r="H154" s="2" t="str">
        <f>TEXT(Patient_data[[#This Row],[Appointment_Date]],"mmmm")</f>
        <v>February</v>
      </c>
      <c r="I154" s="3" t="str">
        <f>TEXT(Patient_data[[#This Row],[Appointment_Date]],"mmm-yyyy")</f>
        <v>Feb-2026</v>
      </c>
      <c r="J154" s="3">
        <v>45975</v>
      </c>
      <c r="K154" t="s">
        <v>329</v>
      </c>
      <c r="L154" t="s">
        <v>30</v>
      </c>
      <c r="M154" s="4">
        <v>79.069999999999993</v>
      </c>
      <c r="N154" t="s">
        <v>20</v>
      </c>
      <c r="O154">
        <f>Patient_data[[#This Row],[Appointment_Date]]-Patient_data[[#This Row],[Booking_Date]]</f>
        <v>80</v>
      </c>
    </row>
    <row r="155" spans="1:15" x14ac:dyDescent="0.25">
      <c r="A155">
        <v>1077</v>
      </c>
      <c r="B155">
        <v>78</v>
      </c>
      <c r="C155" t="s">
        <v>15</v>
      </c>
      <c r="D155" t="s">
        <v>330</v>
      </c>
      <c r="E155" t="s">
        <v>17</v>
      </c>
      <c r="F155" s="3">
        <v>46031</v>
      </c>
      <c r="G155" s="1">
        <f>YEAR(Patient_data[[#This Row],[Appointment_Date]])</f>
        <v>2026</v>
      </c>
      <c r="H155" s="2" t="str">
        <f>TEXT(Patient_data[[#This Row],[Appointment_Date]],"mmmm")</f>
        <v>January</v>
      </c>
      <c r="I155" s="3" t="str">
        <f>TEXT(Patient_data[[#This Row],[Appointment_Date]],"mmm-yyyy")</f>
        <v>Jan-2026</v>
      </c>
      <c r="J155" s="3">
        <v>45784</v>
      </c>
      <c r="K155" t="s">
        <v>331</v>
      </c>
      <c r="L155" t="s">
        <v>30</v>
      </c>
      <c r="M155" s="4">
        <v>14.94</v>
      </c>
      <c r="N155" t="s">
        <v>20</v>
      </c>
      <c r="O155">
        <f>Patient_data[[#This Row],[Appointment_Date]]-Patient_data[[#This Row],[Booking_Date]]</f>
        <v>247</v>
      </c>
    </row>
    <row r="156" spans="1:15" x14ac:dyDescent="0.25">
      <c r="A156">
        <v>1022</v>
      </c>
      <c r="B156">
        <v>78</v>
      </c>
      <c r="C156" t="s">
        <v>15</v>
      </c>
      <c r="D156" t="s">
        <v>332</v>
      </c>
      <c r="E156" t="s">
        <v>17</v>
      </c>
      <c r="F156" s="3">
        <v>45939</v>
      </c>
      <c r="G156" s="1">
        <f>YEAR(Patient_data[[#This Row],[Appointment_Date]])</f>
        <v>2025</v>
      </c>
      <c r="H156" s="2" t="str">
        <f>TEXT(Patient_data[[#This Row],[Appointment_Date]],"mmmm")</f>
        <v>October</v>
      </c>
      <c r="I156" s="3" t="str">
        <f>TEXT(Patient_data[[#This Row],[Appointment_Date]],"mmm-yyyy")</f>
        <v>Oct-2025</v>
      </c>
      <c r="J156" s="3">
        <v>45832</v>
      </c>
      <c r="K156" t="s">
        <v>333</v>
      </c>
      <c r="L156" t="s">
        <v>23</v>
      </c>
      <c r="M156" s="4">
        <v>27.98</v>
      </c>
      <c r="N156" t="s">
        <v>24</v>
      </c>
      <c r="O156">
        <f>Patient_data[[#This Row],[Appointment_Date]]-Patient_data[[#This Row],[Booking_Date]]</f>
        <v>107</v>
      </c>
    </row>
    <row r="157" spans="1:15" x14ac:dyDescent="0.25">
      <c r="A157">
        <v>1077</v>
      </c>
      <c r="B157">
        <v>78</v>
      </c>
      <c r="C157" t="s">
        <v>15</v>
      </c>
      <c r="D157" t="s">
        <v>334</v>
      </c>
      <c r="E157" t="s">
        <v>17</v>
      </c>
      <c r="F157" s="3">
        <v>45970</v>
      </c>
      <c r="G157" s="1">
        <f>YEAR(Patient_data[[#This Row],[Appointment_Date]])</f>
        <v>2025</v>
      </c>
      <c r="H157" s="2" t="str">
        <f>TEXT(Patient_data[[#This Row],[Appointment_Date]],"mmmm")</f>
        <v>November</v>
      </c>
      <c r="I157" s="3" t="str">
        <f>TEXT(Patient_data[[#This Row],[Appointment_Date]],"mmm-yyyy")</f>
        <v>Nov-2025</v>
      </c>
      <c r="J157" s="3">
        <v>45852</v>
      </c>
      <c r="K157" t="s">
        <v>335</v>
      </c>
      <c r="L157" t="s">
        <v>43</v>
      </c>
      <c r="M157" s="4">
        <v>114.73</v>
      </c>
      <c r="N157" t="s">
        <v>24</v>
      </c>
      <c r="O157">
        <f>Patient_data[[#This Row],[Appointment_Date]]-Patient_data[[#This Row],[Booking_Date]]</f>
        <v>118</v>
      </c>
    </row>
    <row r="158" spans="1:15" x14ac:dyDescent="0.25">
      <c r="A158">
        <v>1064</v>
      </c>
      <c r="B158">
        <v>78</v>
      </c>
      <c r="C158" t="s">
        <v>15</v>
      </c>
      <c r="D158" t="s">
        <v>336</v>
      </c>
      <c r="E158" t="s">
        <v>28</v>
      </c>
      <c r="F158" s="3">
        <v>46036</v>
      </c>
      <c r="G158" s="1">
        <f>YEAR(Patient_data[[#This Row],[Appointment_Date]])</f>
        <v>2026</v>
      </c>
      <c r="H158" s="2" t="str">
        <f>TEXT(Patient_data[[#This Row],[Appointment_Date]],"mmmm")</f>
        <v>January</v>
      </c>
      <c r="I158" s="3" t="str">
        <f>TEXT(Patient_data[[#This Row],[Appointment_Date]],"mmm-yyyy")</f>
        <v>Jan-2026</v>
      </c>
      <c r="J158" s="3">
        <v>45784</v>
      </c>
      <c r="K158" t="s">
        <v>337</v>
      </c>
      <c r="L158" t="s">
        <v>43</v>
      </c>
      <c r="M158" s="4">
        <v>63.23</v>
      </c>
      <c r="N158" t="s">
        <v>20</v>
      </c>
      <c r="O158">
        <f>Patient_data[[#This Row],[Appointment_Date]]-Patient_data[[#This Row],[Booking_Date]]</f>
        <v>252</v>
      </c>
    </row>
    <row r="159" spans="1:15" x14ac:dyDescent="0.25">
      <c r="A159">
        <v>1012</v>
      </c>
      <c r="B159">
        <v>78</v>
      </c>
      <c r="C159" t="s">
        <v>15</v>
      </c>
      <c r="D159" t="s">
        <v>338</v>
      </c>
      <c r="E159" t="s">
        <v>28</v>
      </c>
      <c r="F159" s="3">
        <v>45853</v>
      </c>
      <c r="G159" s="1">
        <f>YEAR(Patient_data[[#This Row],[Appointment_Date]])</f>
        <v>2025</v>
      </c>
      <c r="H159" s="2" t="str">
        <f>TEXT(Patient_data[[#This Row],[Appointment_Date]],"mmmm")</f>
        <v>July</v>
      </c>
      <c r="I159" s="3" t="str">
        <f>TEXT(Patient_data[[#This Row],[Appointment_Date]],"mmm-yyyy")</f>
        <v>Jul-2025</v>
      </c>
      <c r="J159" s="3">
        <v>45842</v>
      </c>
      <c r="K159" t="s">
        <v>339</v>
      </c>
      <c r="L159" t="s">
        <v>23</v>
      </c>
      <c r="M159" s="4">
        <v>36.270000000000003</v>
      </c>
      <c r="N159" t="s">
        <v>20</v>
      </c>
      <c r="O159">
        <f>Patient_data[[#This Row],[Appointment_Date]]-Patient_data[[#This Row],[Booking_Date]]</f>
        <v>11</v>
      </c>
    </row>
    <row r="160" spans="1:15" x14ac:dyDescent="0.25">
      <c r="A160">
        <v>1093</v>
      </c>
      <c r="B160">
        <v>77</v>
      </c>
      <c r="C160" t="s">
        <v>15</v>
      </c>
      <c r="D160" t="s">
        <v>340</v>
      </c>
      <c r="E160" t="s">
        <v>28</v>
      </c>
      <c r="F160" s="3">
        <v>46042</v>
      </c>
      <c r="G160" s="1">
        <f>YEAR(Patient_data[[#This Row],[Appointment_Date]])</f>
        <v>2026</v>
      </c>
      <c r="H160" s="2" t="str">
        <f>TEXT(Patient_data[[#This Row],[Appointment_Date]],"mmmm")</f>
        <v>January</v>
      </c>
      <c r="I160" s="3" t="str">
        <f>TEXT(Patient_data[[#This Row],[Appointment_Date]],"mmm-yyyy")</f>
        <v>Jan-2026</v>
      </c>
      <c r="J160" s="3">
        <v>45386</v>
      </c>
      <c r="K160" t="s">
        <v>341</v>
      </c>
      <c r="L160" t="s">
        <v>19</v>
      </c>
      <c r="M160" s="4">
        <v>52.22</v>
      </c>
      <c r="N160" t="s">
        <v>24</v>
      </c>
      <c r="O160">
        <f>Patient_data[[#This Row],[Appointment_Date]]-Patient_data[[#This Row],[Booking_Date]]</f>
        <v>656</v>
      </c>
    </row>
    <row r="161" spans="1:15" x14ac:dyDescent="0.25">
      <c r="A161">
        <v>1048</v>
      </c>
      <c r="B161">
        <v>77</v>
      </c>
      <c r="C161" t="s">
        <v>15</v>
      </c>
      <c r="D161" t="s">
        <v>342</v>
      </c>
      <c r="E161" t="s">
        <v>28</v>
      </c>
      <c r="F161" s="3">
        <v>45951</v>
      </c>
      <c r="G161" s="1">
        <f>YEAR(Patient_data[[#This Row],[Appointment_Date]])</f>
        <v>2025</v>
      </c>
      <c r="H161" s="2" t="str">
        <f>TEXT(Patient_data[[#This Row],[Appointment_Date]],"mmmm")</f>
        <v>October</v>
      </c>
      <c r="I161" s="3" t="str">
        <f>TEXT(Patient_data[[#This Row],[Appointment_Date]],"mmm-yyyy")</f>
        <v>Oct-2025</v>
      </c>
      <c r="J161" s="3">
        <v>45491</v>
      </c>
      <c r="K161" t="s">
        <v>343</v>
      </c>
      <c r="L161" t="s">
        <v>23</v>
      </c>
      <c r="M161" s="4">
        <v>280.77</v>
      </c>
      <c r="N161" t="s">
        <v>20</v>
      </c>
      <c r="O161">
        <f>Patient_data[[#This Row],[Appointment_Date]]-Patient_data[[#This Row],[Booking_Date]]</f>
        <v>460</v>
      </c>
    </row>
    <row r="162" spans="1:15" x14ac:dyDescent="0.25">
      <c r="A162">
        <v>1003</v>
      </c>
      <c r="B162">
        <v>77</v>
      </c>
      <c r="C162" t="s">
        <v>15</v>
      </c>
      <c r="D162" t="s">
        <v>344</v>
      </c>
      <c r="E162" t="s">
        <v>17</v>
      </c>
      <c r="F162" s="3">
        <v>45811</v>
      </c>
      <c r="G162" s="1">
        <f>YEAR(Patient_data[[#This Row],[Appointment_Date]])</f>
        <v>2025</v>
      </c>
      <c r="H162" s="2" t="str">
        <f>TEXT(Patient_data[[#This Row],[Appointment_Date]],"mmmm")</f>
        <v>June</v>
      </c>
      <c r="I162" s="3" t="str">
        <f>TEXT(Patient_data[[#This Row],[Appointment_Date]],"mmm-yyyy")</f>
        <v>Jun-2025</v>
      </c>
      <c r="J162" s="3">
        <v>45430</v>
      </c>
      <c r="K162" t="s">
        <v>345</v>
      </c>
      <c r="L162" t="s">
        <v>43</v>
      </c>
      <c r="M162" s="4">
        <v>0.47</v>
      </c>
      <c r="N162" t="s">
        <v>24</v>
      </c>
      <c r="O162">
        <f>Patient_data[[#This Row],[Appointment_Date]]-Patient_data[[#This Row],[Booking_Date]]</f>
        <v>381</v>
      </c>
    </row>
    <row r="163" spans="1:15" x14ac:dyDescent="0.25">
      <c r="A163">
        <v>1027</v>
      </c>
      <c r="B163">
        <v>77</v>
      </c>
      <c r="C163" t="s">
        <v>15</v>
      </c>
      <c r="D163" t="s">
        <v>346</v>
      </c>
      <c r="E163" t="s">
        <v>28</v>
      </c>
      <c r="F163" s="3">
        <v>45919</v>
      </c>
      <c r="G163" s="1">
        <f>YEAR(Patient_data[[#This Row],[Appointment_Date]])</f>
        <v>2025</v>
      </c>
      <c r="H163" s="2" t="str">
        <f>TEXT(Patient_data[[#This Row],[Appointment_Date]],"mmmm")</f>
        <v>September</v>
      </c>
      <c r="I163" s="3" t="str">
        <f>TEXT(Patient_data[[#This Row],[Appointment_Date]],"mmm-yyyy")</f>
        <v>Sep-2025</v>
      </c>
      <c r="J163" s="3">
        <v>45524</v>
      </c>
      <c r="K163" t="s">
        <v>347</v>
      </c>
      <c r="L163" t="s">
        <v>30</v>
      </c>
      <c r="M163" s="4">
        <v>0.01</v>
      </c>
      <c r="N163" t="s">
        <v>24</v>
      </c>
      <c r="O163">
        <f>Patient_data[[#This Row],[Appointment_Date]]-Patient_data[[#This Row],[Booking_Date]]</f>
        <v>395</v>
      </c>
    </row>
    <row r="164" spans="1:15" x14ac:dyDescent="0.25">
      <c r="A164">
        <v>1008</v>
      </c>
      <c r="B164">
        <v>77</v>
      </c>
      <c r="C164" t="s">
        <v>15</v>
      </c>
      <c r="D164" t="s">
        <v>348</v>
      </c>
      <c r="E164" t="s">
        <v>28</v>
      </c>
      <c r="F164" s="3">
        <v>46029</v>
      </c>
      <c r="G164" s="1">
        <f>YEAR(Patient_data[[#This Row],[Appointment_Date]])</f>
        <v>2026</v>
      </c>
      <c r="H164" s="2" t="str">
        <f>TEXT(Patient_data[[#This Row],[Appointment_Date]],"mmmm")</f>
        <v>January</v>
      </c>
      <c r="I164" s="3" t="str">
        <f>TEXT(Patient_data[[#This Row],[Appointment_Date]],"mmm-yyyy")</f>
        <v>Jan-2026</v>
      </c>
      <c r="J164" s="3">
        <v>45472</v>
      </c>
      <c r="K164" t="s">
        <v>349</v>
      </c>
      <c r="L164" t="s">
        <v>30</v>
      </c>
      <c r="M164" s="4">
        <v>98.89</v>
      </c>
      <c r="N164" t="s">
        <v>24</v>
      </c>
      <c r="O164">
        <f>Patient_data[[#This Row],[Appointment_Date]]-Patient_data[[#This Row],[Booking_Date]]</f>
        <v>557</v>
      </c>
    </row>
    <row r="165" spans="1:15" x14ac:dyDescent="0.25">
      <c r="A165">
        <v>1080</v>
      </c>
      <c r="B165">
        <v>76</v>
      </c>
      <c r="C165" t="s">
        <v>15</v>
      </c>
      <c r="D165" t="s">
        <v>350</v>
      </c>
      <c r="E165" t="s">
        <v>28</v>
      </c>
      <c r="F165" s="3">
        <v>46079</v>
      </c>
      <c r="G165" s="1">
        <f>YEAR(Patient_data[[#This Row],[Appointment_Date]])</f>
        <v>2026</v>
      </c>
      <c r="H165" s="2" t="str">
        <f>TEXT(Patient_data[[#This Row],[Appointment_Date]],"mmmm")</f>
        <v>February</v>
      </c>
      <c r="I165" s="3" t="str">
        <f>TEXT(Patient_data[[#This Row],[Appointment_Date]],"mmm-yyyy")</f>
        <v>Feb-2026</v>
      </c>
      <c r="J165" s="3">
        <v>45629</v>
      </c>
      <c r="K165" t="s">
        <v>351</v>
      </c>
      <c r="L165" t="s">
        <v>30</v>
      </c>
      <c r="M165" s="4">
        <v>25.8</v>
      </c>
      <c r="N165" t="s">
        <v>24</v>
      </c>
      <c r="O165">
        <f>Patient_data[[#This Row],[Appointment_Date]]-Patient_data[[#This Row],[Booking_Date]]</f>
        <v>450</v>
      </c>
    </row>
    <row r="166" spans="1:15" x14ac:dyDescent="0.25">
      <c r="A166">
        <v>1033</v>
      </c>
      <c r="B166">
        <v>76</v>
      </c>
      <c r="C166" t="s">
        <v>15</v>
      </c>
      <c r="D166" t="s">
        <v>352</v>
      </c>
      <c r="E166" t="s">
        <v>28</v>
      </c>
      <c r="F166" s="3">
        <v>45966</v>
      </c>
      <c r="G166" s="1">
        <f>YEAR(Patient_data[[#This Row],[Appointment_Date]])</f>
        <v>2025</v>
      </c>
      <c r="H166" s="2" t="str">
        <f>TEXT(Patient_data[[#This Row],[Appointment_Date]],"mmmm")</f>
        <v>November</v>
      </c>
      <c r="I166" s="3" t="str">
        <f>TEXT(Patient_data[[#This Row],[Appointment_Date]],"mmm-yyyy")</f>
        <v>Nov-2025</v>
      </c>
      <c r="J166" s="3">
        <v>45800</v>
      </c>
      <c r="K166" t="s">
        <v>353</v>
      </c>
      <c r="L166" t="s">
        <v>19</v>
      </c>
      <c r="M166" s="4">
        <v>35.450000000000003</v>
      </c>
      <c r="N166" t="s">
        <v>24</v>
      </c>
      <c r="O166">
        <f>Patient_data[[#This Row],[Appointment_Date]]-Patient_data[[#This Row],[Booking_Date]]</f>
        <v>166</v>
      </c>
    </row>
    <row r="167" spans="1:15" x14ac:dyDescent="0.25">
      <c r="A167">
        <v>1053</v>
      </c>
      <c r="B167">
        <v>76</v>
      </c>
      <c r="C167" t="s">
        <v>15</v>
      </c>
      <c r="D167" t="s">
        <v>354</v>
      </c>
      <c r="E167" t="s">
        <v>17</v>
      </c>
      <c r="F167" s="3">
        <v>45827</v>
      </c>
      <c r="G167" s="1">
        <f>YEAR(Patient_data[[#This Row],[Appointment_Date]])</f>
        <v>2025</v>
      </c>
      <c r="H167" s="2" t="str">
        <f>TEXT(Patient_data[[#This Row],[Appointment_Date]],"mmmm")</f>
        <v>June</v>
      </c>
      <c r="I167" s="3" t="str">
        <f>TEXT(Patient_data[[#This Row],[Appointment_Date]],"mmm-yyyy")</f>
        <v>Jun-2025</v>
      </c>
      <c r="J167" s="3">
        <v>45777</v>
      </c>
      <c r="K167" t="s">
        <v>355</v>
      </c>
      <c r="L167" t="s">
        <v>30</v>
      </c>
      <c r="M167" s="4">
        <v>34.380000000000003</v>
      </c>
      <c r="N167" t="s">
        <v>20</v>
      </c>
      <c r="O167">
        <f>Patient_data[[#This Row],[Appointment_Date]]-Patient_data[[#This Row],[Booking_Date]]</f>
        <v>50</v>
      </c>
    </row>
    <row r="168" spans="1:15" x14ac:dyDescent="0.25">
      <c r="A168">
        <v>1020</v>
      </c>
      <c r="B168">
        <v>76</v>
      </c>
      <c r="C168" t="s">
        <v>15</v>
      </c>
      <c r="D168" t="s">
        <v>356</v>
      </c>
      <c r="E168" t="s">
        <v>28</v>
      </c>
      <c r="F168" s="3">
        <v>45807</v>
      </c>
      <c r="G168" s="1">
        <f>YEAR(Patient_data[[#This Row],[Appointment_Date]])</f>
        <v>2025</v>
      </c>
      <c r="H168" s="2" t="str">
        <f>TEXT(Patient_data[[#This Row],[Appointment_Date]],"mmmm")</f>
        <v>May</v>
      </c>
      <c r="I168" s="3" t="str">
        <f>TEXT(Patient_data[[#This Row],[Appointment_Date]],"mmm-yyyy")</f>
        <v>May-2025</v>
      </c>
      <c r="J168" s="3">
        <v>45500</v>
      </c>
      <c r="K168" t="s">
        <v>357</v>
      </c>
      <c r="L168" t="s">
        <v>23</v>
      </c>
      <c r="M168" s="4">
        <v>5.85</v>
      </c>
      <c r="N168" t="s">
        <v>20</v>
      </c>
      <c r="O168">
        <f>Patient_data[[#This Row],[Appointment_Date]]-Patient_data[[#This Row],[Booking_Date]]</f>
        <v>307</v>
      </c>
    </row>
    <row r="169" spans="1:15" x14ac:dyDescent="0.25">
      <c r="A169">
        <v>1065</v>
      </c>
      <c r="B169">
        <v>76</v>
      </c>
      <c r="C169" t="s">
        <v>15</v>
      </c>
      <c r="D169" t="s">
        <v>358</v>
      </c>
      <c r="E169" t="s">
        <v>17</v>
      </c>
      <c r="F169" s="3">
        <v>45836</v>
      </c>
      <c r="G169" s="1">
        <f>YEAR(Patient_data[[#This Row],[Appointment_Date]])</f>
        <v>2025</v>
      </c>
      <c r="H169" s="2" t="str">
        <f>TEXT(Patient_data[[#This Row],[Appointment_Date]],"mmmm")</f>
        <v>June</v>
      </c>
      <c r="I169" s="3" t="str">
        <f>TEXT(Patient_data[[#This Row],[Appointment_Date]],"mmm-yyyy")</f>
        <v>Jun-2025</v>
      </c>
      <c r="J169" s="3">
        <v>45648</v>
      </c>
      <c r="K169" t="s">
        <v>359</v>
      </c>
      <c r="L169" t="s">
        <v>43</v>
      </c>
      <c r="M169" s="4">
        <v>145.83000000000001</v>
      </c>
      <c r="N169" t="s">
        <v>24</v>
      </c>
      <c r="O169">
        <f>Patient_data[[#This Row],[Appointment_Date]]-Patient_data[[#This Row],[Booking_Date]]</f>
        <v>188</v>
      </c>
    </row>
    <row r="170" spans="1:15" x14ac:dyDescent="0.25">
      <c r="A170">
        <v>1053</v>
      </c>
      <c r="B170">
        <v>76</v>
      </c>
      <c r="C170" t="s">
        <v>15</v>
      </c>
      <c r="D170" t="s">
        <v>360</v>
      </c>
      <c r="E170" t="s">
        <v>28</v>
      </c>
      <c r="F170" s="3">
        <v>45989</v>
      </c>
      <c r="G170" s="1">
        <f>YEAR(Patient_data[[#This Row],[Appointment_Date]])</f>
        <v>2025</v>
      </c>
      <c r="H170" s="2" t="str">
        <f>TEXT(Patient_data[[#This Row],[Appointment_Date]],"mmmm")</f>
        <v>November</v>
      </c>
      <c r="I170" s="3" t="str">
        <f>TEXT(Patient_data[[#This Row],[Appointment_Date]],"mmm-yyyy")</f>
        <v>Nov-2025</v>
      </c>
      <c r="J170" s="3">
        <v>45767</v>
      </c>
      <c r="K170" t="s">
        <v>361</v>
      </c>
      <c r="L170" t="s">
        <v>23</v>
      </c>
      <c r="M170" s="4">
        <v>74.72</v>
      </c>
      <c r="N170" t="s">
        <v>24</v>
      </c>
      <c r="O170">
        <f>Patient_data[[#This Row],[Appointment_Date]]-Patient_data[[#This Row],[Booking_Date]]</f>
        <v>222</v>
      </c>
    </row>
    <row r="171" spans="1:15" x14ac:dyDescent="0.25">
      <c r="A171">
        <v>1046</v>
      </c>
      <c r="B171">
        <v>76</v>
      </c>
      <c r="C171" t="s">
        <v>15</v>
      </c>
      <c r="D171" t="s">
        <v>362</v>
      </c>
      <c r="E171" t="s">
        <v>17</v>
      </c>
      <c r="F171" s="3">
        <v>46028</v>
      </c>
      <c r="G171" s="1">
        <f>YEAR(Patient_data[[#This Row],[Appointment_Date]])</f>
        <v>2026</v>
      </c>
      <c r="H171" s="2" t="str">
        <f>TEXT(Patient_data[[#This Row],[Appointment_Date]],"mmmm")</f>
        <v>January</v>
      </c>
      <c r="I171" s="3" t="str">
        <f>TEXT(Patient_data[[#This Row],[Appointment_Date]],"mmm-yyyy")</f>
        <v>Jan-2026</v>
      </c>
      <c r="J171" s="3">
        <v>45732</v>
      </c>
      <c r="K171" t="s">
        <v>363</v>
      </c>
      <c r="L171" t="s">
        <v>30</v>
      </c>
      <c r="M171" s="4">
        <v>28.88</v>
      </c>
      <c r="N171" t="s">
        <v>24</v>
      </c>
      <c r="O171">
        <f>Patient_data[[#This Row],[Appointment_Date]]-Patient_data[[#This Row],[Booking_Date]]</f>
        <v>296</v>
      </c>
    </row>
    <row r="172" spans="1:15" x14ac:dyDescent="0.25">
      <c r="A172">
        <v>1066</v>
      </c>
      <c r="B172">
        <v>76</v>
      </c>
      <c r="C172" t="s">
        <v>15</v>
      </c>
      <c r="D172" t="s">
        <v>364</v>
      </c>
      <c r="E172" t="s">
        <v>17</v>
      </c>
      <c r="F172" s="3">
        <v>45961</v>
      </c>
      <c r="G172" s="1">
        <f>YEAR(Patient_data[[#This Row],[Appointment_Date]])</f>
        <v>2025</v>
      </c>
      <c r="H172" s="2" t="str">
        <f>TEXT(Patient_data[[#This Row],[Appointment_Date]],"mmmm")</f>
        <v>October</v>
      </c>
      <c r="I172" s="3" t="str">
        <f>TEXT(Patient_data[[#This Row],[Appointment_Date]],"mmm-yyyy")</f>
        <v>Oct-2025</v>
      </c>
      <c r="J172" s="3">
        <v>45470</v>
      </c>
      <c r="K172" t="s">
        <v>365</v>
      </c>
      <c r="L172" t="s">
        <v>23</v>
      </c>
      <c r="M172" s="4">
        <v>23.13</v>
      </c>
      <c r="N172" t="s">
        <v>24</v>
      </c>
      <c r="O172">
        <f>Patient_data[[#This Row],[Appointment_Date]]-Patient_data[[#This Row],[Booking_Date]]</f>
        <v>491</v>
      </c>
    </row>
    <row r="173" spans="1:15" x14ac:dyDescent="0.25">
      <c r="A173">
        <v>1089</v>
      </c>
      <c r="B173">
        <v>76</v>
      </c>
      <c r="C173" t="s">
        <v>15</v>
      </c>
      <c r="D173" t="s">
        <v>366</v>
      </c>
      <c r="E173" t="s">
        <v>28</v>
      </c>
      <c r="F173" s="3">
        <v>46102</v>
      </c>
      <c r="G173" s="1">
        <f>YEAR(Patient_data[[#This Row],[Appointment_Date]])</f>
        <v>2026</v>
      </c>
      <c r="H173" s="2" t="str">
        <f>TEXT(Patient_data[[#This Row],[Appointment_Date]],"mmmm")</f>
        <v>March</v>
      </c>
      <c r="I173" s="3" t="str">
        <f>TEXT(Patient_data[[#This Row],[Appointment_Date]],"mmm-yyyy")</f>
        <v>Mar-2026</v>
      </c>
      <c r="J173" s="3">
        <v>45555</v>
      </c>
      <c r="K173" t="s">
        <v>367</v>
      </c>
      <c r="L173" t="s">
        <v>19</v>
      </c>
      <c r="M173" s="4">
        <v>4.3</v>
      </c>
      <c r="N173" t="s">
        <v>24</v>
      </c>
      <c r="O173">
        <f>Patient_data[[#This Row],[Appointment_Date]]-Patient_data[[#This Row],[Booking_Date]]</f>
        <v>547</v>
      </c>
    </row>
    <row r="174" spans="1:15" x14ac:dyDescent="0.25">
      <c r="A174">
        <v>1023</v>
      </c>
      <c r="B174">
        <v>76</v>
      </c>
      <c r="C174" t="s">
        <v>15</v>
      </c>
      <c r="D174" t="s">
        <v>368</v>
      </c>
      <c r="E174" t="s">
        <v>28</v>
      </c>
      <c r="F174" s="3">
        <v>45888</v>
      </c>
      <c r="G174" s="1">
        <f>YEAR(Patient_data[[#This Row],[Appointment_Date]])</f>
        <v>2025</v>
      </c>
      <c r="H174" s="2" t="str">
        <f>TEXT(Patient_data[[#This Row],[Appointment_Date]],"mmmm")</f>
        <v>August</v>
      </c>
      <c r="I174" s="3" t="str">
        <f>TEXT(Patient_data[[#This Row],[Appointment_Date]],"mmm-yyyy")</f>
        <v>Aug-2025</v>
      </c>
      <c r="J174" s="3">
        <v>45884</v>
      </c>
      <c r="K174" t="s">
        <v>369</v>
      </c>
      <c r="L174" t="s">
        <v>23</v>
      </c>
      <c r="M174" s="4">
        <v>151.58000000000001</v>
      </c>
      <c r="N174" t="s">
        <v>24</v>
      </c>
      <c r="O174">
        <f>Patient_data[[#This Row],[Appointment_Date]]-Patient_data[[#This Row],[Booking_Date]]</f>
        <v>4</v>
      </c>
    </row>
    <row r="175" spans="1:15" x14ac:dyDescent="0.25">
      <c r="A175">
        <v>1047</v>
      </c>
      <c r="B175">
        <v>76</v>
      </c>
      <c r="C175" t="s">
        <v>15</v>
      </c>
      <c r="D175" t="s">
        <v>370</v>
      </c>
      <c r="E175" t="s">
        <v>17</v>
      </c>
      <c r="F175" s="3">
        <v>45887</v>
      </c>
      <c r="G175" s="1">
        <f>YEAR(Patient_data[[#This Row],[Appointment_Date]])</f>
        <v>2025</v>
      </c>
      <c r="H175" s="2" t="str">
        <f>TEXT(Patient_data[[#This Row],[Appointment_Date]],"mmmm")</f>
        <v>August</v>
      </c>
      <c r="I175" s="3" t="str">
        <f>TEXT(Patient_data[[#This Row],[Appointment_Date]],"mmm-yyyy")</f>
        <v>Aug-2025</v>
      </c>
      <c r="J175" s="3">
        <v>45822</v>
      </c>
      <c r="K175" t="s">
        <v>371</v>
      </c>
      <c r="L175" t="s">
        <v>43</v>
      </c>
      <c r="M175" s="4">
        <v>3.67</v>
      </c>
      <c r="N175" t="s">
        <v>20</v>
      </c>
      <c r="O175">
        <f>Patient_data[[#This Row],[Appointment_Date]]-Patient_data[[#This Row],[Booking_Date]]</f>
        <v>65</v>
      </c>
    </row>
    <row r="176" spans="1:15" x14ac:dyDescent="0.25">
      <c r="A176">
        <v>1012</v>
      </c>
      <c r="B176">
        <v>76</v>
      </c>
      <c r="C176" t="s">
        <v>15</v>
      </c>
      <c r="D176" t="s">
        <v>372</v>
      </c>
      <c r="E176" t="s">
        <v>17</v>
      </c>
      <c r="F176" s="3">
        <v>46060</v>
      </c>
      <c r="G176" s="1">
        <f>YEAR(Patient_data[[#This Row],[Appointment_Date]])</f>
        <v>2026</v>
      </c>
      <c r="H176" s="2" t="str">
        <f>TEXT(Patient_data[[#This Row],[Appointment_Date]],"mmmm")</f>
        <v>February</v>
      </c>
      <c r="I176" s="3" t="str">
        <f>TEXT(Patient_data[[#This Row],[Appointment_Date]],"mmm-yyyy")</f>
        <v>Feb-2026</v>
      </c>
      <c r="J176" s="3">
        <v>46037</v>
      </c>
      <c r="K176" t="s">
        <v>373</v>
      </c>
      <c r="L176" t="s">
        <v>43</v>
      </c>
      <c r="M176" s="4">
        <v>255.43</v>
      </c>
      <c r="N176" t="s">
        <v>20</v>
      </c>
      <c r="O176">
        <f>Patient_data[[#This Row],[Appointment_Date]]-Patient_data[[#This Row],[Booking_Date]]</f>
        <v>23</v>
      </c>
    </row>
    <row r="177" spans="1:15" x14ac:dyDescent="0.25">
      <c r="A177">
        <v>1036</v>
      </c>
      <c r="B177">
        <v>76</v>
      </c>
      <c r="C177" t="s">
        <v>15</v>
      </c>
      <c r="D177" t="s">
        <v>374</v>
      </c>
      <c r="E177" t="s">
        <v>17</v>
      </c>
      <c r="F177" s="3">
        <v>46032</v>
      </c>
      <c r="G177" s="1">
        <f>YEAR(Patient_data[[#This Row],[Appointment_Date]])</f>
        <v>2026</v>
      </c>
      <c r="H177" s="2" t="str">
        <f>TEXT(Patient_data[[#This Row],[Appointment_Date]],"mmmm")</f>
        <v>January</v>
      </c>
      <c r="I177" s="3" t="str">
        <f>TEXT(Patient_data[[#This Row],[Appointment_Date]],"mmm-yyyy")</f>
        <v>Jan-2026</v>
      </c>
      <c r="J177" s="3">
        <v>45869</v>
      </c>
      <c r="K177" t="s">
        <v>375</v>
      </c>
      <c r="L177" t="s">
        <v>23</v>
      </c>
      <c r="M177" s="4">
        <v>36.770000000000003</v>
      </c>
      <c r="N177" t="s">
        <v>24</v>
      </c>
      <c r="O177">
        <f>Patient_data[[#This Row],[Appointment_Date]]-Patient_data[[#This Row],[Booking_Date]]</f>
        <v>163</v>
      </c>
    </row>
    <row r="178" spans="1:15" x14ac:dyDescent="0.25">
      <c r="A178">
        <v>1047</v>
      </c>
      <c r="B178">
        <v>76</v>
      </c>
      <c r="C178" t="s">
        <v>15</v>
      </c>
      <c r="D178" t="s">
        <v>376</v>
      </c>
      <c r="E178" t="s">
        <v>17</v>
      </c>
      <c r="F178" s="3">
        <v>46081</v>
      </c>
      <c r="G178" s="1">
        <f>YEAR(Patient_data[[#This Row],[Appointment_Date]])</f>
        <v>2026</v>
      </c>
      <c r="H178" s="2" t="str">
        <f>TEXT(Patient_data[[#This Row],[Appointment_Date]],"mmmm")</f>
        <v>February</v>
      </c>
      <c r="I178" s="3" t="str">
        <f>TEXT(Patient_data[[#This Row],[Appointment_Date]],"mmm-yyyy")</f>
        <v>Feb-2026</v>
      </c>
      <c r="J178" s="3">
        <v>45615</v>
      </c>
      <c r="K178" t="s">
        <v>377</v>
      </c>
      <c r="L178" t="s">
        <v>30</v>
      </c>
      <c r="M178" s="4">
        <v>378.92</v>
      </c>
      <c r="N178" t="s">
        <v>20</v>
      </c>
      <c r="O178">
        <f>Patient_data[[#This Row],[Appointment_Date]]-Patient_data[[#This Row],[Booking_Date]]</f>
        <v>466</v>
      </c>
    </row>
    <row r="179" spans="1:15" x14ac:dyDescent="0.25">
      <c r="A179">
        <v>1036</v>
      </c>
      <c r="B179">
        <v>75</v>
      </c>
      <c r="C179" t="s">
        <v>378</v>
      </c>
      <c r="D179" t="s">
        <v>379</v>
      </c>
      <c r="E179" t="s">
        <v>28</v>
      </c>
      <c r="F179" s="3">
        <v>46076</v>
      </c>
      <c r="G179" s="1">
        <f>YEAR(Patient_data[[#This Row],[Appointment_Date]])</f>
        <v>2026</v>
      </c>
      <c r="H179" s="2" t="str">
        <f>TEXT(Patient_data[[#This Row],[Appointment_Date]],"mmmm")</f>
        <v>February</v>
      </c>
      <c r="I179" s="3" t="str">
        <f>TEXT(Patient_data[[#This Row],[Appointment_Date]],"mmm-yyyy")</f>
        <v>Feb-2026</v>
      </c>
      <c r="J179" s="3">
        <v>45581</v>
      </c>
      <c r="K179" t="s">
        <v>380</v>
      </c>
      <c r="L179" t="s">
        <v>30</v>
      </c>
      <c r="M179" s="4">
        <v>62.97</v>
      </c>
      <c r="N179" t="s">
        <v>20</v>
      </c>
      <c r="O179">
        <f>Patient_data[[#This Row],[Appointment_Date]]-Patient_data[[#This Row],[Booking_Date]]</f>
        <v>495</v>
      </c>
    </row>
    <row r="180" spans="1:15" x14ac:dyDescent="0.25">
      <c r="A180">
        <v>1027</v>
      </c>
      <c r="B180">
        <v>75</v>
      </c>
      <c r="C180" t="s">
        <v>378</v>
      </c>
      <c r="D180" t="s">
        <v>381</v>
      </c>
      <c r="E180" t="s">
        <v>17</v>
      </c>
      <c r="F180" s="3">
        <v>45761</v>
      </c>
      <c r="G180" s="1">
        <f>YEAR(Patient_data[[#This Row],[Appointment_Date]])</f>
        <v>2025</v>
      </c>
      <c r="H180" s="2" t="str">
        <f>TEXT(Patient_data[[#This Row],[Appointment_Date]],"mmmm")</f>
        <v>April</v>
      </c>
      <c r="I180" s="3" t="str">
        <f>TEXT(Patient_data[[#This Row],[Appointment_Date]],"mmm-yyyy")</f>
        <v>Apr-2025</v>
      </c>
      <c r="J180" s="3">
        <v>45463</v>
      </c>
      <c r="K180" t="s">
        <v>382</v>
      </c>
      <c r="L180" t="s">
        <v>43</v>
      </c>
      <c r="M180" s="4">
        <v>442.41</v>
      </c>
      <c r="N180" t="s">
        <v>20</v>
      </c>
      <c r="O180">
        <f>Patient_data[[#This Row],[Appointment_Date]]-Patient_data[[#This Row],[Booking_Date]]</f>
        <v>298</v>
      </c>
    </row>
    <row r="181" spans="1:15" x14ac:dyDescent="0.25">
      <c r="A181">
        <v>1034</v>
      </c>
      <c r="B181">
        <v>75</v>
      </c>
      <c r="C181" t="s">
        <v>378</v>
      </c>
      <c r="D181" t="s">
        <v>383</v>
      </c>
      <c r="E181" t="s">
        <v>28</v>
      </c>
      <c r="F181" s="3">
        <v>45813</v>
      </c>
      <c r="G181" s="1">
        <f>YEAR(Patient_data[[#This Row],[Appointment_Date]])</f>
        <v>2025</v>
      </c>
      <c r="H181" s="2" t="str">
        <f>TEXT(Patient_data[[#This Row],[Appointment_Date]],"mmmm")</f>
        <v>June</v>
      </c>
      <c r="I181" s="3" t="str">
        <f>TEXT(Patient_data[[#This Row],[Appointment_Date]],"mmm-yyyy")</f>
        <v>Jun-2025</v>
      </c>
      <c r="J181" s="3">
        <v>45677</v>
      </c>
      <c r="K181" t="s">
        <v>384</v>
      </c>
      <c r="L181" t="s">
        <v>30</v>
      </c>
      <c r="M181" s="4">
        <v>180.6</v>
      </c>
      <c r="N181" t="s">
        <v>24</v>
      </c>
      <c r="O181">
        <f>Patient_data[[#This Row],[Appointment_Date]]-Patient_data[[#This Row],[Booking_Date]]</f>
        <v>136</v>
      </c>
    </row>
    <row r="182" spans="1:15" x14ac:dyDescent="0.25">
      <c r="A182">
        <v>1065</v>
      </c>
      <c r="B182">
        <v>75</v>
      </c>
      <c r="C182" t="s">
        <v>378</v>
      </c>
      <c r="D182" t="s">
        <v>385</v>
      </c>
      <c r="E182" t="s">
        <v>17</v>
      </c>
      <c r="F182" s="3">
        <v>46005</v>
      </c>
      <c r="G182" s="1">
        <f>YEAR(Patient_data[[#This Row],[Appointment_Date]])</f>
        <v>2025</v>
      </c>
      <c r="H182" s="2" t="str">
        <f>TEXT(Patient_data[[#This Row],[Appointment_Date]],"mmmm")</f>
        <v>December</v>
      </c>
      <c r="I182" s="3" t="str">
        <f>TEXT(Patient_data[[#This Row],[Appointment_Date]],"mmm-yyyy")</f>
        <v>Dec-2025</v>
      </c>
      <c r="J182" s="3">
        <v>45442</v>
      </c>
      <c r="K182" t="s">
        <v>386</v>
      </c>
      <c r="L182" t="s">
        <v>43</v>
      </c>
      <c r="M182" s="4">
        <v>55.56</v>
      </c>
      <c r="N182" t="s">
        <v>24</v>
      </c>
      <c r="O182">
        <f>Patient_data[[#This Row],[Appointment_Date]]-Patient_data[[#This Row],[Booking_Date]]</f>
        <v>563</v>
      </c>
    </row>
    <row r="183" spans="1:15" x14ac:dyDescent="0.25">
      <c r="A183">
        <v>1098</v>
      </c>
      <c r="B183">
        <v>75</v>
      </c>
      <c r="C183" t="s">
        <v>378</v>
      </c>
      <c r="D183" t="s">
        <v>387</v>
      </c>
      <c r="E183" t="s">
        <v>28</v>
      </c>
      <c r="F183" s="3">
        <v>46019</v>
      </c>
      <c r="G183" s="1">
        <f>YEAR(Patient_data[[#This Row],[Appointment_Date]])</f>
        <v>2025</v>
      </c>
      <c r="H183" s="2" t="str">
        <f>TEXT(Patient_data[[#This Row],[Appointment_Date]],"mmmm")</f>
        <v>December</v>
      </c>
      <c r="I183" s="3" t="str">
        <f>TEXT(Patient_data[[#This Row],[Appointment_Date]],"mmm-yyyy")</f>
        <v>Dec-2025</v>
      </c>
      <c r="J183" s="3">
        <v>45642</v>
      </c>
      <c r="K183" t="s">
        <v>388</v>
      </c>
      <c r="L183" t="s">
        <v>19</v>
      </c>
      <c r="M183" s="4">
        <v>82.2</v>
      </c>
      <c r="N183" t="s">
        <v>24</v>
      </c>
      <c r="O183">
        <f>Patient_data[[#This Row],[Appointment_Date]]-Patient_data[[#This Row],[Booking_Date]]</f>
        <v>377</v>
      </c>
    </row>
    <row r="184" spans="1:15" x14ac:dyDescent="0.25">
      <c r="A184">
        <v>1059</v>
      </c>
      <c r="B184">
        <v>75</v>
      </c>
      <c r="C184" t="s">
        <v>378</v>
      </c>
      <c r="D184" t="s">
        <v>389</v>
      </c>
      <c r="E184" t="s">
        <v>28</v>
      </c>
      <c r="F184" s="3">
        <v>45762</v>
      </c>
      <c r="G184" s="1">
        <f>YEAR(Patient_data[[#This Row],[Appointment_Date]])</f>
        <v>2025</v>
      </c>
      <c r="H184" s="2" t="str">
        <f>TEXT(Patient_data[[#This Row],[Appointment_Date]],"mmmm")</f>
        <v>April</v>
      </c>
      <c r="I184" s="3" t="str">
        <f>TEXT(Patient_data[[#This Row],[Appointment_Date]],"mmm-yyyy")</f>
        <v>Apr-2025</v>
      </c>
      <c r="J184" s="3">
        <v>45444</v>
      </c>
      <c r="K184" t="s">
        <v>390</v>
      </c>
      <c r="L184" t="s">
        <v>30</v>
      </c>
      <c r="M184" s="4">
        <v>29.1</v>
      </c>
      <c r="N184" t="s">
        <v>24</v>
      </c>
      <c r="O184">
        <f>Patient_data[[#This Row],[Appointment_Date]]-Patient_data[[#This Row],[Booking_Date]]</f>
        <v>318</v>
      </c>
    </row>
    <row r="185" spans="1:15" x14ac:dyDescent="0.25">
      <c r="A185">
        <v>1074</v>
      </c>
      <c r="B185">
        <v>75</v>
      </c>
      <c r="C185" t="s">
        <v>378</v>
      </c>
      <c r="D185" t="s">
        <v>391</v>
      </c>
      <c r="E185" t="s">
        <v>28</v>
      </c>
      <c r="F185" s="3">
        <v>45884</v>
      </c>
      <c r="G185" s="1">
        <f>YEAR(Patient_data[[#This Row],[Appointment_Date]])</f>
        <v>2025</v>
      </c>
      <c r="H185" s="2" t="str">
        <f>TEXT(Patient_data[[#This Row],[Appointment_Date]],"mmmm")</f>
        <v>August</v>
      </c>
      <c r="I185" s="3" t="str">
        <f>TEXT(Patient_data[[#This Row],[Appointment_Date]],"mmm-yyyy")</f>
        <v>Aug-2025</v>
      </c>
      <c r="J185" s="3">
        <v>45459</v>
      </c>
      <c r="K185" t="s">
        <v>392</v>
      </c>
      <c r="L185" t="s">
        <v>19</v>
      </c>
      <c r="M185" s="4">
        <v>9.5500000000000007</v>
      </c>
      <c r="N185" t="s">
        <v>24</v>
      </c>
      <c r="O185">
        <f>Patient_data[[#This Row],[Appointment_Date]]-Patient_data[[#This Row],[Booking_Date]]</f>
        <v>425</v>
      </c>
    </row>
    <row r="186" spans="1:15" x14ac:dyDescent="0.25">
      <c r="A186">
        <v>1089</v>
      </c>
      <c r="B186">
        <v>75</v>
      </c>
      <c r="C186" t="s">
        <v>378</v>
      </c>
      <c r="D186" t="s">
        <v>393</v>
      </c>
      <c r="E186" t="s">
        <v>28</v>
      </c>
      <c r="F186" s="3">
        <v>45991</v>
      </c>
      <c r="G186" s="1">
        <f>YEAR(Patient_data[[#This Row],[Appointment_Date]])</f>
        <v>2025</v>
      </c>
      <c r="H186" s="2" t="str">
        <f>TEXT(Patient_data[[#This Row],[Appointment_Date]],"mmmm")</f>
        <v>November</v>
      </c>
      <c r="I186" s="3" t="str">
        <f>TEXT(Patient_data[[#This Row],[Appointment_Date]],"mmm-yyyy")</f>
        <v>Nov-2025</v>
      </c>
      <c r="J186" s="3">
        <v>45813</v>
      </c>
      <c r="K186" t="s">
        <v>394</v>
      </c>
      <c r="L186" t="s">
        <v>30</v>
      </c>
      <c r="M186" s="4">
        <v>14.58</v>
      </c>
      <c r="N186" t="s">
        <v>24</v>
      </c>
      <c r="O186">
        <f>Patient_data[[#This Row],[Appointment_Date]]-Patient_data[[#This Row],[Booking_Date]]</f>
        <v>178</v>
      </c>
    </row>
    <row r="187" spans="1:15" x14ac:dyDescent="0.25">
      <c r="A187">
        <v>1035</v>
      </c>
      <c r="B187">
        <v>75</v>
      </c>
      <c r="C187" t="s">
        <v>378</v>
      </c>
      <c r="D187" t="s">
        <v>395</v>
      </c>
      <c r="E187" t="s">
        <v>17</v>
      </c>
      <c r="F187" s="3">
        <v>45982</v>
      </c>
      <c r="G187" s="1">
        <f>YEAR(Patient_data[[#This Row],[Appointment_Date]])</f>
        <v>2025</v>
      </c>
      <c r="H187" s="2" t="str">
        <f>TEXT(Patient_data[[#This Row],[Appointment_Date]],"mmmm")</f>
        <v>November</v>
      </c>
      <c r="I187" s="3" t="str">
        <f>TEXT(Patient_data[[#This Row],[Appointment_Date]],"mmm-yyyy")</f>
        <v>Nov-2025</v>
      </c>
      <c r="J187" s="3">
        <v>45659</v>
      </c>
      <c r="K187" t="s">
        <v>396</v>
      </c>
      <c r="L187" t="s">
        <v>23</v>
      </c>
      <c r="M187" s="4">
        <v>274.5</v>
      </c>
      <c r="N187" t="s">
        <v>24</v>
      </c>
      <c r="O187">
        <f>Patient_data[[#This Row],[Appointment_Date]]-Patient_data[[#This Row],[Booking_Date]]</f>
        <v>323</v>
      </c>
    </row>
    <row r="188" spans="1:15" x14ac:dyDescent="0.25">
      <c r="A188">
        <v>1042</v>
      </c>
      <c r="B188">
        <v>75</v>
      </c>
      <c r="C188" t="s">
        <v>378</v>
      </c>
      <c r="D188" t="s">
        <v>397</v>
      </c>
      <c r="E188" t="s">
        <v>17</v>
      </c>
      <c r="F188" s="3">
        <v>46008</v>
      </c>
      <c r="G188" s="1">
        <f>YEAR(Patient_data[[#This Row],[Appointment_Date]])</f>
        <v>2025</v>
      </c>
      <c r="H188" s="2" t="str">
        <f>TEXT(Patient_data[[#This Row],[Appointment_Date]],"mmmm")</f>
        <v>December</v>
      </c>
      <c r="I188" s="3" t="str">
        <f>TEXT(Patient_data[[#This Row],[Appointment_Date]],"mmm-yyyy")</f>
        <v>Dec-2025</v>
      </c>
      <c r="J188" s="3">
        <v>45557</v>
      </c>
      <c r="K188" t="s">
        <v>398</v>
      </c>
      <c r="L188" t="s">
        <v>19</v>
      </c>
      <c r="M188" s="4">
        <v>38.159999999999997</v>
      </c>
      <c r="N188" t="s">
        <v>20</v>
      </c>
      <c r="O188">
        <f>Patient_data[[#This Row],[Appointment_Date]]-Patient_data[[#This Row],[Booking_Date]]</f>
        <v>451</v>
      </c>
    </row>
    <row r="189" spans="1:15" x14ac:dyDescent="0.25">
      <c r="A189">
        <v>1033</v>
      </c>
      <c r="B189">
        <v>75</v>
      </c>
      <c r="C189" t="s">
        <v>378</v>
      </c>
      <c r="D189" t="s">
        <v>399</v>
      </c>
      <c r="E189" t="s">
        <v>28</v>
      </c>
      <c r="F189" s="3">
        <v>46075</v>
      </c>
      <c r="G189" s="1">
        <f>YEAR(Patient_data[[#This Row],[Appointment_Date]])</f>
        <v>2026</v>
      </c>
      <c r="H189" s="2" t="str">
        <f>TEXT(Patient_data[[#This Row],[Appointment_Date]],"mmmm")</f>
        <v>February</v>
      </c>
      <c r="I189" s="3" t="str">
        <f>TEXT(Patient_data[[#This Row],[Appointment_Date]],"mmm-yyyy")</f>
        <v>Feb-2026</v>
      </c>
      <c r="J189" s="3">
        <v>45713</v>
      </c>
      <c r="K189" t="s">
        <v>400</v>
      </c>
      <c r="L189" t="s">
        <v>23</v>
      </c>
      <c r="M189" s="4">
        <v>44.78</v>
      </c>
      <c r="N189" t="s">
        <v>24</v>
      </c>
      <c r="O189">
        <f>Patient_data[[#This Row],[Appointment_Date]]-Patient_data[[#This Row],[Booking_Date]]</f>
        <v>362</v>
      </c>
    </row>
    <row r="190" spans="1:15" x14ac:dyDescent="0.25">
      <c r="A190">
        <v>1063</v>
      </c>
      <c r="B190">
        <v>75</v>
      </c>
      <c r="C190" t="s">
        <v>378</v>
      </c>
      <c r="D190" t="s">
        <v>401</v>
      </c>
      <c r="E190" t="s">
        <v>28</v>
      </c>
      <c r="F190" s="3">
        <v>45811</v>
      </c>
      <c r="G190" s="1">
        <f>YEAR(Patient_data[[#This Row],[Appointment_Date]])</f>
        <v>2025</v>
      </c>
      <c r="H190" s="2" t="str">
        <f>TEXT(Patient_data[[#This Row],[Appointment_Date]],"mmmm")</f>
        <v>June</v>
      </c>
      <c r="I190" s="3" t="str">
        <f>TEXT(Patient_data[[#This Row],[Appointment_Date]],"mmm-yyyy")</f>
        <v>Jun-2025</v>
      </c>
      <c r="J190" s="3">
        <v>45605</v>
      </c>
      <c r="K190" t="s">
        <v>402</v>
      </c>
      <c r="L190" t="s">
        <v>30</v>
      </c>
      <c r="M190" s="4">
        <v>96.19</v>
      </c>
      <c r="N190" t="s">
        <v>24</v>
      </c>
      <c r="O190">
        <f>Patient_data[[#This Row],[Appointment_Date]]-Patient_data[[#This Row],[Booking_Date]]</f>
        <v>206</v>
      </c>
    </row>
    <row r="191" spans="1:15" x14ac:dyDescent="0.25">
      <c r="A191">
        <v>1054</v>
      </c>
      <c r="B191">
        <v>74</v>
      </c>
      <c r="C191" t="s">
        <v>378</v>
      </c>
      <c r="D191" t="s">
        <v>403</v>
      </c>
      <c r="E191" t="s">
        <v>17</v>
      </c>
      <c r="F191" s="3">
        <v>46068</v>
      </c>
      <c r="G191" s="1">
        <f>YEAR(Patient_data[[#This Row],[Appointment_Date]])</f>
        <v>2026</v>
      </c>
      <c r="H191" s="2" t="str">
        <f>TEXT(Patient_data[[#This Row],[Appointment_Date]],"mmmm")</f>
        <v>February</v>
      </c>
      <c r="I191" s="3" t="str">
        <f>TEXT(Patient_data[[#This Row],[Appointment_Date]],"mmm-yyyy")</f>
        <v>Feb-2026</v>
      </c>
      <c r="J191" s="3">
        <v>45807</v>
      </c>
      <c r="K191" t="s">
        <v>404</v>
      </c>
      <c r="L191" t="s">
        <v>19</v>
      </c>
      <c r="M191" s="4">
        <v>277.60000000000002</v>
      </c>
      <c r="N191" t="s">
        <v>20</v>
      </c>
      <c r="O191">
        <f>Patient_data[[#This Row],[Appointment_Date]]-Patient_data[[#This Row],[Booking_Date]]</f>
        <v>261</v>
      </c>
    </row>
    <row r="192" spans="1:15" x14ac:dyDescent="0.25">
      <c r="A192">
        <v>1094</v>
      </c>
      <c r="B192">
        <v>74</v>
      </c>
      <c r="C192" t="s">
        <v>378</v>
      </c>
      <c r="D192" t="s">
        <v>405</v>
      </c>
      <c r="E192" t="s">
        <v>28</v>
      </c>
      <c r="F192" s="3">
        <v>45825</v>
      </c>
      <c r="G192" s="1">
        <f>YEAR(Patient_data[[#This Row],[Appointment_Date]])</f>
        <v>2025</v>
      </c>
      <c r="H192" s="2" t="str">
        <f>TEXT(Patient_data[[#This Row],[Appointment_Date]],"mmmm")</f>
        <v>June</v>
      </c>
      <c r="I192" s="3" t="str">
        <f>TEXT(Patient_data[[#This Row],[Appointment_Date]],"mmm-yyyy")</f>
        <v>Jun-2025</v>
      </c>
      <c r="J192" s="3">
        <v>45407</v>
      </c>
      <c r="K192" t="s">
        <v>406</v>
      </c>
      <c r="L192" t="s">
        <v>30</v>
      </c>
      <c r="M192" s="4">
        <v>75.27</v>
      </c>
      <c r="N192" t="s">
        <v>24</v>
      </c>
      <c r="O192">
        <f>Patient_data[[#This Row],[Appointment_Date]]-Patient_data[[#This Row],[Booking_Date]]</f>
        <v>418</v>
      </c>
    </row>
    <row r="193" spans="1:15" x14ac:dyDescent="0.25">
      <c r="A193">
        <v>1044</v>
      </c>
      <c r="B193">
        <v>74</v>
      </c>
      <c r="C193" t="s">
        <v>378</v>
      </c>
      <c r="D193" t="s">
        <v>407</v>
      </c>
      <c r="E193" t="s">
        <v>28</v>
      </c>
      <c r="F193" s="3">
        <v>45749</v>
      </c>
      <c r="G193" s="1">
        <f>YEAR(Patient_data[[#This Row],[Appointment_Date]])</f>
        <v>2025</v>
      </c>
      <c r="H193" s="2" t="str">
        <f>TEXT(Patient_data[[#This Row],[Appointment_Date]],"mmmm")</f>
        <v>April</v>
      </c>
      <c r="I193" s="3" t="str">
        <f>TEXT(Patient_data[[#This Row],[Appointment_Date]],"mmm-yyyy")</f>
        <v>Apr-2025</v>
      </c>
      <c r="J193" s="3">
        <v>45676</v>
      </c>
      <c r="K193" t="s">
        <v>408</v>
      </c>
      <c r="L193" t="s">
        <v>43</v>
      </c>
      <c r="M193" s="4">
        <v>9.02</v>
      </c>
      <c r="N193" t="s">
        <v>20</v>
      </c>
      <c r="O193">
        <f>Patient_data[[#This Row],[Appointment_Date]]-Patient_data[[#This Row],[Booking_Date]]</f>
        <v>73</v>
      </c>
    </row>
    <row r="194" spans="1:15" x14ac:dyDescent="0.25">
      <c r="A194">
        <v>1016</v>
      </c>
      <c r="B194">
        <v>74</v>
      </c>
      <c r="C194" t="s">
        <v>378</v>
      </c>
      <c r="D194" t="s">
        <v>409</v>
      </c>
      <c r="E194" t="s">
        <v>17</v>
      </c>
      <c r="F194" s="3">
        <v>45997</v>
      </c>
      <c r="G194" s="1">
        <f>YEAR(Patient_data[[#This Row],[Appointment_Date]])</f>
        <v>2025</v>
      </c>
      <c r="H194" s="2" t="str">
        <f>TEXT(Patient_data[[#This Row],[Appointment_Date]],"mmmm")</f>
        <v>December</v>
      </c>
      <c r="I194" s="3" t="str">
        <f>TEXT(Patient_data[[#This Row],[Appointment_Date]],"mmm-yyyy")</f>
        <v>Dec-2025</v>
      </c>
      <c r="J194" s="3">
        <v>45569</v>
      </c>
      <c r="K194" t="s">
        <v>410</v>
      </c>
      <c r="L194" t="s">
        <v>19</v>
      </c>
      <c r="M194" s="4">
        <v>6.63</v>
      </c>
      <c r="N194" t="s">
        <v>24</v>
      </c>
      <c r="O194">
        <f>Patient_data[[#This Row],[Appointment_Date]]-Patient_data[[#This Row],[Booking_Date]]</f>
        <v>428</v>
      </c>
    </row>
    <row r="195" spans="1:15" x14ac:dyDescent="0.25">
      <c r="A195">
        <v>1091</v>
      </c>
      <c r="B195">
        <v>74</v>
      </c>
      <c r="C195" t="s">
        <v>378</v>
      </c>
      <c r="D195" t="s">
        <v>411</v>
      </c>
      <c r="E195" t="s">
        <v>17</v>
      </c>
      <c r="F195" s="3">
        <v>46002</v>
      </c>
      <c r="G195" s="1">
        <f>YEAR(Patient_data[[#This Row],[Appointment_Date]])</f>
        <v>2025</v>
      </c>
      <c r="H195" s="2" t="str">
        <f>TEXT(Patient_data[[#This Row],[Appointment_Date]],"mmmm")</f>
        <v>December</v>
      </c>
      <c r="I195" s="3" t="str">
        <f>TEXT(Patient_data[[#This Row],[Appointment_Date]],"mmm-yyyy")</f>
        <v>Dec-2025</v>
      </c>
      <c r="J195" s="3">
        <v>45770</v>
      </c>
      <c r="K195" t="s">
        <v>412</v>
      </c>
      <c r="L195" t="s">
        <v>30</v>
      </c>
      <c r="M195" s="4">
        <v>97.5</v>
      </c>
      <c r="N195" t="s">
        <v>24</v>
      </c>
      <c r="O195">
        <f>Patient_data[[#This Row],[Appointment_Date]]-Patient_data[[#This Row],[Booking_Date]]</f>
        <v>232</v>
      </c>
    </row>
    <row r="196" spans="1:15" x14ac:dyDescent="0.25">
      <c r="A196">
        <v>1061</v>
      </c>
      <c r="B196">
        <v>74</v>
      </c>
      <c r="C196" t="s">
        <v>378</v>
      </c>
      <c r="D196" t="s">
        <v>413</v>
      </c>
      <c r="E196" t="s">
        <v>28</v>
      </c>
      <c r="F196" s="3">
        <v>45901</v>
      </c>
      <c r="G196" s="1">
        <f>YEAR(Patient_data[[#This Row],[Appointment_Date]])</f>
        <v>2025</v>
      </c>
      <c r="H196" s="2" t="str">
        <f>TEXT(Patient_data[[#This Row],[Appointment_Date]],"mmmm")</f>
        <v>September</v>
      </c>
      <c r="I196" s="3" t="str">
        <f>TEXT(Patient_data[[#This Row],[Appointment_Date]],"mmm-yyyy")</f>
        <v>Sep-2025</v>
      </c>
      <c r="J196" s="3">
        <v>45803</v>
      </c>
      <c r="K196" t="s">
        <v>414</v>
      </c>
      <c r="L196" t="s">
        <v>23</v>
      </c>
      <c r="M196" s="4">
        <v>473.48</v>
      </c>
      <c r="N196" t="s">
        <v>24</v>
      </c>
      <c r="O196">
        <f>Patient_data[[#This Row],[Appointment_Date]]-Patient_data[[#This Row],[Booking_Date]]</f>
        <v>98</v>
      </c>
    </row>
    <row r="197" spans="1:15" x14ac:dyDescent="0.25">
      <c r="A197">
        <v>1092</v>
      </c>
      <c r="B197">
        <v>74</v>
      </c>
      <c r="C197" t="s">
        <v>378</v>
      </c>
      <c r="D197" t="s">
        <v>415</v>
      </c>
      <c r="E197" t="s">
        <v>28</v>
      </c>
      <c r="F197" s="3">
        <v>45862</v>
      </c>
      <c r="G197" s="1">
        <f>YEAR(Patient_data[[#This Row],[Appointment_Date]])</f>
        <v>2025</v>
      </c>
      <c r="H197" s="2" t="str">
        <f>TEXT(Patient_data[[#This Row],[Appointment_Date]],"mmmm")</f>
        <v>July</v>
      </c>
      <c r="I197" s="3" t="str">
        <f>TEXT(Patient_data[[#This Row],[Appointment_Date]],"mmm-yyyy")</f>
        <v>Jul-2025</v>
      </c>
      <c r="J197" s="3">
        <v>45771</v>
      </c>
      <c r="K197" t="s">
        <v>416</v>
      </c>
      <c r="L197" t="s">
        <v>23</v>
      </c>
      <c r="M197" s="4">
        <v>53.53</v>
      </c>
      <c r="N197" t="s">
        <v>24</v>
      </c>
      <c r="O197">
        <f>Patient_data[[#This Row],[Appointment_Date]]-Patient_data[[#This Row],[Booking_Date]]</f>
        <v>91</v>
      </c>
    </row>
    <row r="198" spans="1:15" x14ac:dyDescent="0.25">
      <c r="A198">
        <v>1009</v>
      </c>
      <c r="B198">
        <v>74</v>
      </c>
      <c r="C198" t="s">
        <v>378</v>
      </c>
      <c r="D198" t="s">
        <v>417</v>
      </c>
      <c r="E198" t="s">
        <v>17</v>
      </c>
      <c r="F198" s="3">
        <v>46100</v>
      </c>
      <c r="G198" s="1">
        <f>YEAR(Patient_data[[#This Row],[Appointment_Date]])</f>
        <v>2026</v>
      </c>
      <c r="H198" s="2" t="str">
        <f>TEXT(Patient_data[[#This Row],[Appointment_Date]],"mmmm")</f>
        <v>March</v>
      </c>
      <c r="I198" s="3" t="str">
        <f>TEXT(Patient_data[[#This Row],[Appointment_Date]],"mmm-yyyy")</f>
        <v>Mar-2026</v>
      </c>
      <c r="J198" s="3">
        <v>45987</v>
      </c>
      <c r="K198" t="s">
        <v>418</v>
      </c>
      <c r="L198" t="s">
        <v>30</v>
      </c>
      <c r="M198" s="4">
        <v>66.87</v>
      </c>
      <c r="N198" t="s">
        <v>20</v>
      </c>
      <c r="O198">
        <f>Patient_data[[#This Row],[Appointment_Date]]-Patient_data[[#This Row],[Booking_Date]]</f>
        <v>113</v>
      </c>
    </row>
    <row r="199" spans="1:15" x14ac:dyDescent="0.25">
      <c r="A199">
        <v>1047</v>
      </c>
      <c r="B199">
        <v>74</v>
      </c>
      <c r="C199" t="s">
        <v>378</v>
      </c>
      <c r="D199" t="s">
        <v>419</v>
      </c>
      <c r="E199" t="s">
        <v>17</v>
      </c>
      <c r="F199" s="3">
        <v>45949</v>
      </c>
      <c r="G199" s="1">
        <f>YEAR(Patient_data[[#This Row],[Appointment_Date]])</f>
        <v>2025</v>
      </c>
      <c r="H199" s="2" t="str">
        <f>TEXT(Patient_data[[#This Row],[Appointment_Date]],"mmmm")</f>
        <v>October</v>
      </c>
      <c r="I199" s="3" t="str">
        <f>TEXT(Patient_data[[#This Row],[Appointment_Date]],"mmm-yyyy")</f>
        <v>Oct-2025</v>
      </c>
      <c r="J199" s="3">
        <v>45511</v>
      </c>
      <c r="K199" t="s">
        <v>420</v>
      </c>
      <c r="L199" t="s">
        <v>43</v>
      </c>
      <c r="M199" s="4">
        <v>84.82</v>
      </c>
      <c r="N199" t="s">
        <v>24</v>
      </c>
      <c r="O199">
        <f>Patient_data[[#This Row],[Appointment_Date]]-Patient_data[[#This Row],[Booking_Date]]</f>
        <v>438</v>
      </c>
    </row>
    <row r="200" spans="1:15" x14ac:dyDescent="0.25">
      <c r="A200">
        <v>1066</v>
      </c>
      <c r="B200">
        <v>74</v>
      </c>
      <c r="C200" t="s">
        <v>378</v>
      </c>
      <c r="D200" t="s">
        <v>421</v>
      </c>
      <c r="E200" t="s">
        <v>28</v>
      </c>
      <c r="F200" s="3">
        <v>45800</v>
      </c>
      <c r="G200" s="1">
        <f>YEAR(Patient_data[[#This Row],[Appointment_Date]])</f>
        <v>2025</v>
      </c>
      <c r="H200" s="2" t="str">
        <f>TEXT(Patient_data[[#This Row],[Appointment_Date]],"mmmm")</f>
        <v>May</v>
      </c>
      <c r="I200" s="3" t="str">
        <f>TEXT(Patient_data[[#This Row],[Appointment_Date]],"mmm-yyyy")</f>
        <v>May-2025</v>
      </c>
      <c r="J200" s="3">
        <v>45652</v>
      </c>
      <c r="K200" t="s">
        <v>422</v>
      </c>
      <c r="L200" t="s">
        <v>43</v>
      </c>
      <c r="M200" s="4">
        <v>486.07</v>
      </c>
      <c r="N200" t="s">
        <v>24</v>
      </c>
      <c r="O200">
        <f>Patient_data[[#This Row],[Appointment_Date]]-Patient_data[[#This Row],[Booking_Date]]</f>
        <v>148</v>
      </c>
    </row>
    <row r="201" spans="1:15" x14ac:dyDescent="0.25">
      <c r="A201">
        <v>1033</v>
      </c>
      <c r="B201">
        <v>74</v>
      </c>
      <c r="C201" t="s">
        <v>378</v>
      </c>
      <c r="D201" t="s">
        <v>423</v>
      </c>
      <c r="E201" t="s">
        <v>17</v>
      </c>
      <c r="F201" s="3">
        <v>45886</v>
      </c>
      <c r="G201" s="1">
        <f>YEAR(Patient_data[[#This Row],[Appointment_Date]])</f>
        <v>2025</v>
      </c>
      <c r="H201" s="2" t="str">
        <f>TEXT(Patient_data[[#This Row],[Appointment_Date]],"mmmm")</f>
        <v>August</v>
      </c>
      <c r="I201" s="3" t="str">
        <f>TEXT(Patient_data[[#This Row],[Appointment_Date]],"mmm-yyyy")</f>
        <v>Aug-2025</v>
      </c>
      <c r="J201" s="3">
        <v>45586</v>
      </c>
      <c r="K201" t="s">
        <v>424</v>
      </c>
      <c r="L201" t="s">
        <v>23</v>
      </c>
      <c r="M201" s="4">
        <v>3.91</v>
      </c>
      <c r="N201" t="s">
        <v>20</v>
      </c>
      <c r="O201">
        <f>Patient_data[[#This Row],[Appointment_Date]]-Patient_data[[#This Row],[Booking_Date]]</f>
        <v>300</v>
      </c>
    </row>
    <row r="202" spans="1:15" x14ac:dyDescent="0.25">
      <c r="A202">
        <v>1099</v>
      </c>
      <c r="B202">
        <v>74</v>
      </c>
      <c r="C202" t="s">
        <v>378</v>
      </c>
      <c r="D202" t="s">
        <v>425</v>
      </c>
      <c r="E202" t="s">
        <v>17</v>
      </c>
      <c r="F202" s="3">
        <v>45786</v>
      </c>
      <c r="G202" s="1">
        <f>YEAR(Patient_data[[#This Row],[Appointment_Date]])</f>
        <v>2025</v>
      </c>
      <c r="H202" s="2" t="str">
        <f>TEXT(Patient_data[[#This Row],[Appointment_Date]],"mmmm")</f>
        <v>May</v>
      </c>
      <c r="I202" s="3" t="str">
        <f>TEXT(Patient_data[[#This Row],[Appointment_Date]],"mmm-yyyy")</f>
        <v>May-2025</v>
      </c>
      <c r="J202" s="3">
        <v>45608</v>
      </c>
      <c r="K202" t="s">
        <v>426</v>
      </c>
      <c r="L202" t="s">
        <v>30</v>
      </c>
      <c r="M202" s="4">
        <v>88.54</v>
      </c>
      <c r="N202" t="s">
        <v>20</v>
      </c>
      <c r="O202">
        <f>Patient_data[[#This Row],[Appointment_Date]]-Patient_data[[#This Row],[Booking_Date]]</f>
        <v>178</v>
      </c>
    </row>
    <row r="203" spans="1:15" x14ac:dyDescent="0.25">
      <c r="A203">
        <v>1071</v>
      </c>
      <c r="B203">
        <v>74</v>
      </c>
      <c r="C203" t="s">
        <v>378</v>
      </c>
      <c r="D203" t="s">
        <v>427</v>
      </c>
      <c r="E203" t="s">
        <v>17</v>
      </c>
      <c r="F203" s="3">
        <v>45892</v>
      </c>
      <c r="G203" s="1">
        <f>YEAR(Patient_data[[#This Row],[Appointment_Date]])</f>
        <v>2025</v>
      </c>
      <c r="H203" s="2" t="str">
        <f>TEXT(Patient_data[[#This Row],[Appointment_Date]],"mmmm")</f>
        <v>August</v>
      </c>
      <c r="I203" s="3" t="str">
        <f>TEXT(Patient_data[[#This Row],[Appointment_Date]],"mmm-yyyy")</f>
        <v>Aug-2025</v>
      </c>
      <c r="J203" s="3">
        <v>45559</v>
      </c>
      <c r="K203" t="s">
        <v>428</v>
      </c>
      <c r="L203" t="s">
        <v>30</v>
      </c>
      <c r="M203" s="4">
        <v>53.44</v>
      </c>
      <c r="N203" t="s">
        <v>20</v>
      </c>
      <c r="O203">
        <f>Patient_data[[#This Row],[Appointment_Date]]-Patient_data[[#This Row],[Booking_Date]]</f>
        <v>333</v>
      </c>
    </row>
    <row r="204" spans="1:15" x14ac:dyDescent="0.25">
      <c r="A204">
        <v>1089</v>
      </c>
      <c r="B204">
        <v>73</v>
      </c>
      <c r="C204" t="s">
        <v>378</v>
      </c>
      <c r="D204" t="s">
        <v>429</v>
      </c>
      <c r="E204" t="s">
        <v>28</v>
      </c>
      <c r="F204" s="3">
        <v>45778</v>
      </c>
      <c r="G204" s="1">
        <f>YEAR(Patient_data[[#This Row],[Appointment_Date]])</f>
        <v>2025</v>
      </c>
      <c r="H204" s="2" t="str">
        <f>TEXT(Patient_data[[#This Row],[Appointment_Date]],"mmmm")</f>
        <v>May</v>
      </c>
      <c r="I204" s="3" t="str">
        <f>TEXT(Patient_data[[#This Row],[Appointment_Date]],"mmm-yyyy")</f>
        <v>May-2025</v>
      </c>
      <c r="J204" s="3">
        <v>45498</v>
      </c>
      <c r="K204" t="s">
        <v>430</v>
      </c>
      <c r="L204" t="s">
        <v>30</v>
      </c>
      <c r="M204" s="4">
        <v>66.08</v>
      </c>
      <c r="N204" t="s">
        <v>20</v>
      </c>
      <c r="O204">
        <f>Patient_data[[#This Row],[Appointment_Date]]-Patient_data[[#This Row],[Booking_Date]]</f>
        <v>280</v>
      </c>
    </row>
    <row r="205" spans="1:15" x14ac:dyDescent="0.25">
      <c r="A205">
        <v>1069</v>
      </c>
      <c r="B205">
        <v>73</v>
      </c>
      <c r="C205" t="s">
        <v>378</v>
      </c>
      <c r="D205" t="s">
        <v>431</v>
      </c>
      <c r="E205" t="s">
        <v>28</v>
      </c>
      <c r="F205" s="3">
        <v>46030</v>
      </c>
      <c r="G205" s="1">
        <f>YEAR(Patient_data[[#This Row],[Appointment_Date]])</f>
        <v>2026</v>
      </c>
      <c r="H205" s="2" t="str">
        <f>TEXT(Patient_data[[#This Row],[Appointment_Date]],"mmmm")</f>
        <v>January</v>
      </c>
      <c r="I205" s="3" t="str">
        <f>TEXT(Patient_data[[#This Row],[Appointment_Date]],"mmm-yyyy")</f>
        <v>Jan-2026</v>
      </c>
      <c r="J205" s="3">
        <v>45517</v>
      </c>
      <c r="K205" t="s">
        <v>432</v>
      </c>
      <c r="L205" t="s">
        <v>23</v>
      </c>
      <c r="M205" s="4">
        <v>6.48</v>
      </c>
      <c r="N205" t="s">
        <v>24</v>
      </c>
      <c r="O205">
        <f>Patient_data[[#This Row],[Appointment_Date]]-Patient_data[[#This Row],[Booking_Date]]</f>
        <v>513</v>
      </c>
    </row>
    <row r="206" spans="1:15" x14ac:dyDescent="0.25">
      <c r="A206">
        <v>1071</v>
      </c>
      <c r="B206">
        <v>73</v>
      </c>
      <c r="C206" t="s">
        <v>378</v>
      </c>
      <c r="D206" t="s">
        <v>433</v>
      </c>
      <c r="E206" t="s">
        <v>28</v>
      </c>
      <c r="F206" s="3">
        <v>45964</v>
      </c>
      <c r="G206" s="1">
        <f>YEAR(Patient_data[[#This Row],[Appointment_Date]])</f>
        <v>2025</v>
      </c>
      <c r="H206" s="2" t="str">
        <f>TEXT(Patient_data[[#This Row],[Appointment_Date]],"mmmm")</f>
        <v>November</v>
      </c>
      <c r="I206" s="3" t="str">
        <f>TEXT(Patient_data[[#This Row],[Appointment_Date]],"mmm-yyyy")</f>
        <v>Nov-2025</v>
      </c>
      <c r="J206" s="3">
        <v>45408</v>
      </c>
      <c r="K206" t="s">
        <v>434</v>
      </c>
      <c r="L206" t="s">
        <v>43</v>
      </c>
      <c r="M206" s="4">
        <v>22.79</v>
      </c>
      <c r="N206" t="s">
        <v>24</v>
      </c>
      <c r="O206">
        <f>Patient_data[[#This Row],[Appointment_Date]]-Patient_data[[#This Row],[Booking_Date]]</f>
        <v>556</v>
      </c>
    </row>
    <row r="207" spans="1:15" x14ac:dyDescent="0.25">
      <c r="A207">
        <v>1071</v>
      </c>
      <c r="B207">
        <v>73</v>
      </c>
      <c r="C207" t="s">
        <v>378</v>
      </c>
      <c r="D207" t="s">
        <v>435</v>
      </c>
      <c r="E207" t="s">
        <v>28</v>
      </c>
      <c r="F207" s="3">
        <v>45893</v>
      </c>
      <c r="G207" s="1">
        <f>YEAR(Patient_data[[#This Row],[Appointment_Date]])</f>
        <v>2025</v>
      </c>
      <c r="H207" s="2" t="str">
        <f>TEXT(Patient_data[[#This Row],[Appointment_Date]],"mmmm")</f>
        <v>August</v>
      </c>
      <c r="I207" s="3" t="str">
        <f>TEXT(Patient_data[[#This Row],[Appointment_Date]],"mmm-yyyy")</f>
        <v>Aug-2025</v>
      </c>
      <c r="J207" s="3">
        <v>45842</v>
      </c>
      <c r="K207" t="s">
        <v>436</v>
      </c>
      <c r="L207" t="s">
        <v>19</v>
      </c>
      <c r="M207" s="4">
        <v>62.84</v>
      </c>
      <c r="N207" t="s">
        <v>20</v>
      </c>
      <c r="O207">
        <f>Patient_data[[#This Row],[Appointment_Date]]-Patient_data[[#This Row],[Booking_Date]]</f>
        <v>51</v>
      </c>
    </row>
    <row r="208" spans="1:15" x14ac:dyDescent="0.25">
      <c r="A208">
        <v>1075</v>
      </c>
      <c r="B208">
        <v>73</v>
      </c>
      <c r="C208" t="s">
        <v>378</v>
      </c>
      <c r="D208" t="s">
        <v>437</v>
      </c>
      <c r="E208" t="s">
        <v>28</v>
      </c>
      <c r="F208" s="3">
        <v>45752</v>
      </c>
      <c r="G208" s="1">
        <f>YEAR(Patient_data[[#This Row],[Appointment_Date]])</f>
        <v>2025</v>
      </c>
      <c r="H208" s="2" t="str">
        <f>TEXT(Patient_data[[#This Row],[Appointment_Date]],"mmmm")</f>
        <v>April</v>
      </c>
      <c r="I208" s="3" t="str">
        <f>TEXT(Patient_data[[#This Row],[Appointment_Date]],"mmm-yyyy")</f>
        <v>Apr-2025</v>
      </c>
      <c r="J208" s="3">
        <v>45646</v>
      </c>
      <c r="K208" t="s">
        <v>438</v>
      </c>
      <c r="L208" t="s">
        <v>19</v>
      </c>
      <c r="M208" s="4">
        <v>48.18</v>
      </c>
      <c r="N208" t="s">
        <v>20</v>
      </c>
      <c r="O208">
        <f>Patient_data[[#This Row],[Appointment_Date]]-Patient_data[[#This Row],[Booking_Date]]</f>
        <v>106</v>
      </c>
    </row>
    <row r="209" spans="1:15" x14ac:dyDescent="0.25">
      <c r="A209">
        <v>1027</v>
      </c>
      <c r="B209">
        <v>72</v>
      </c>
      <c r="C209" t="s">
        <v>378</v>
      </c>
      <c r="D209" t="s">
        <v>439</v>
      </c>
      <c r="E209" t="s">
        <v>17</v>
      </c>
      <c r="F209" s="3">
        <v>45896</v>
      </c>
      <c r="G209" s="1">
        <f>YEAR(Patient_data[[#This Row],[Appointment_Date]])</f>
        <v>2025</v>
      </c>
      <c r="H209" s="2" t="str">
        <f>TEXT(Patient_data[[#This Row],[Appointment_Date]],"mmmm")</f>
        <v>August</v>
      </c>
      <c r="I209" s="3" t="str">
        <f>TEXT(Patient_data[[#This Row],[Appointment_Date]],"mmm-yyyy")</f>
        <v>Aug-2025</v>
      </c>
      <c r="J209" s="3">
        <v>45701</v>
      </c>
      <c r="K209" t="s">
        <v>440</v>
      </c>
      <c r="L209" t="s">
        <v>30</v>
      </c>
      <c r="M209" s="4">
        <v>52.38</v>
      </c>
      <c r="N209" t="s">
        <v>24</v>
      </c>
      <c r="O209">
        <f>Patient_data[[#This Row],[Appointment_Date]]-Patient_data[[#This Row],[Booking_Date]]</f>
        <v>195</v>
      </c>
    </row>
    <row r="210" spans="1:15" x14ac:dyDescent="0.25">
      <c r="A210">
        <v>1069</v>
      </c>
      <c r="B210">
        <v>72</v>
      </c>
      <c r="C210" t="s">
        <v>378</v>
      </c>
      <c r="D210" t="s">
        <v>441</v>
      </c>
      <c r="E210" t="s">
        <v>17</v>
      </c>
      <c r="F210" s="3">
        <v>45880</v>
      </c>
      <c r="G210" s="1">
        <f>YEAR(Patient_data[[#This Row],[Appointment_Date]])</f>
        <v>2025</v>
      </c>
      <c r="H210" s="2" t="str">
        <f>TEXT(Patient_data[[#This Row],[Appointment_Date]],"mmmm")</f>
        <v>August</v>
      </c>
      <c r="I210" s="3" t="str">
        <f>TEXT(Patient_data[[#This Row],[Appointment_Date]],"mmm-yyyy")</f>
        <v>Aug-2025</v>
      </c>
      <c r="J210" s="3">
        <v>45383</v>
      </c>
      <c r="K210" t="s">
        <v>442</v>
      </c>
      <c r="L210" t="s">
        <v>19</v>
      </c>
      <c r="M210" s="4">
        <v>13.35</v>
      </c>
      <c r="N210" t="s">
        <v>24</v>
      </c>
      <c r="O210">
        <f>Patient_data[[#This Row],[Appointment_Date]]-Patient_data[[#This Row],[Booking_Date]]</f>
        <v>497</v>
      </c>
    </row>
    <row r="211" spans="1:15" x14ac:dyDescent="0.25">
      <c r="A211">
        <v>1087</v>
      </c>
      <c r="B211">
        <v>72</v>
      </c>
      <c r="C211" t="s">
        <v>378</v>
      </c>
      <c r="D211" t="s">
        <v>443</v>
      </c>
      <c r="E211" t="s">
        <v>28</v>
      </c>
      <c r="F211" s="3">
        <v>45834</v>
      </c>
      <c r="G211" s="1">
        <f>YEAR(Patient_data[[#This Row],[Appointment_Date]])</f>
        <v>2025</v>
      </c>
      <c r="H211" s="2" t="str">
        <f>TEXT(Patient_data[[#This Row],[Appointment_Date]],"mmmm")</f>
        <v>June</v>
      </c>
      <c r="I211" s="3" t="str">
        <f>TEXT(Patient_data[[#This Row],[Appointment_Date]],"mmm-yyyy")</f>
        <v>Jun-2025</v>
      </c>
      <c r="J211" s="3">
        <v>45796</v>
      </c>
      <c r="K211" t="s">
        <v>444</v>
      </c>
      <c r="L211" t="s">
        <v>23</v>
      </c>
      <c r="M211" s="4">
        <v>205.35</v>
      </c>
      <c r="N211" t="s">
        <v>24</v>
      </c>
      <c r="O211">
        <f>Patient_data[[#This Row],[Appointment_Date]]-Patient_data[[#This Row],[Booking_Date]]</f>
        <v>38</v>
      </c>
    </row>
    <row r="212" spans="1:15" x14ac:dyDescent="0.25">
      <c r="A212">
        <v>1089</v>
      </c>
      <c r="B212">
        <v>72</v>
      </c>
      <c r="C212" t="s">
        <v>378</v>
      </c>
      <c r="D212" t="s">
        <v>445</v>
      </c>
      <c r="E212" t="s">
        <v>28</v>
      </c>
      <c r="F212" s="3">
        <v>46017</v>
      </c>
      <c r="G212" s="1">
        <f>YEAR(Patient_data[[#This Row],[Appointment_Date]])</f>
        <v>2025</v>
      </c>
      <c r="H212" s="2" t="str">
        <f>TEXT(Patient_data[[#This Row],[Appointment_Date]],"mmmm")</f>
        <v>December</v>
      </c>
      <c r="I212" s="3" t="str">
        <f>TEXT(Patient_data[[#This Row],[Appointment_Date]],"mmm-yyyy")</f>
        <v>Dec-2025</v>
      </c>
      <c r="J212" s="3">
        <v>45509</v>
      </c>
      <c r="K212" t="s">
        <v>446</v>
      </c>
      <c r="L212" t="s">
        <v>19</v>
      </c>
      <c r="M212" s="4">
        <v>80.75</v>
      </c>
      <c r="N212" t="s">
        <v>24</v>
      </c>
      <c r="O212">
        <f>Patient_data[[#This Row],[Appointment_Date]]-Patient_data[[#This Row],[Booking_Date]]</f>
        <v>508</v>
      </c>
    </row>
    <row r="213" spans="1:15" x14ac:dyDescent="0.25">
      <c r="A213">
        <v>1086</v>
      </c>
      <c r="B213">
        <v>72</v>
      </c>
      <c r="C213" t="s">
        <v>378</v>
      </c>
      <c r="D213" t="s">
        <v>447</v>
      </c>
      <c r="E213" t="s">
        <v>17</v>
      </c>
      <c r="F213" s="3">
        <v>46091</v>
      </c>
      <c r="G213" s="1">
        <f>YEAR(Patient_data[[#This Row],[Appointment_Date]])</f>
        <v>2026</v>
      </c>
      <c r="H213" s="2" t="str">
        <f>TEXT(Patient_data[[#This Row],[Appointment_Date]],"mmmm")</f>
        <v>March</v>
      </c>
      <c r="I213" s="3" t="str">
        <f>TEXT(Patient_data[[#This Row],[Appointment_Date]],"mmm-yyyy")</f>
        <v>Mar-2026</v>
      </c>
      <c r="J213" s="3">
        <v>45952</v>
      </c>
      <c r="K213" t="s">
        <v>448</v>
      </c>
      <c r="L213" t="s">
        <v>43</v>
      </c>
      <c r="M213" s="4">
        <v>3.61</v>
      </c>
      <c r="N213" t="s">
        <v>20</v>
      </c>
      <c r="O213">
        <f>Patient_data[[#This Row],[Appointment_Date]]-Patient_data[[#This Row],[Booking_Date]]</f>
        <v>139</v>
      </c>
    </row>
    <row r="214" spans="1:15" x14ac:dyDescent="0.25">
      <c r="A214">
        <v>1038</v>
      </c>
      <c r="B214">
        <v>72</v>
      </c>
      <c r="C214" t="s">
        <v>378</v>
      </c>
      <c r="D214" t="s">
        <v>449</v>
      </c>
      <c r="E214" t="s">
        <v>28</v>
      </c>
      <c r="F214" s="3">
        <v>45896</v>
      </c>
      <c r="G214" s="1">
        <f>YEAR(Patient_data[[#This Row],[Appointment_Date]])</f>
        <v>2025</v>
      </c>
      <c r="H214" s="2" t="str">
        <f>TEXT(Patient_data[[#This Row],[Appointment_Date]],"mmmm")</f>
        <v>August</v>
      </c>
      <c r="I214" s="3" t="str">
        <f>TEXT(Patient_data[[#This Row],[Appointment_Date]],"mmm-yyyy")</f>
        <v>Aug-2025</v>
      </c>
      <c r="J214" s="3">
        <v>45633</v>
      </c>
      <c r="K214" t="s">
        <v>450</v>
      </c>
      <c r="L214" t="s">
        <v>19</v>
      </c>
      <c r="M214" s="4">
        <v>499.72</v>
      </c>
      <c r="N214" t="s">
        <v>24</v>
      </c>
      <c r="O214">
        <f>Patient_data[[#This Row],[Appointment_Date]]-Patient_data[[#This Row],[Booking_Date]]</f>
        <v>263</v>
      </c>
    </row>
    <row r="215" spans="1:15" x14ac:dyDescent="0.25">
      <c r="A215">
        <v>1067</v>
      </c>
      <c r="B215">
        <v>72</v>
      </c>
      <c r="C215" t="s">
        <v>378</v>
      </c>
      <c r="D215" t="s">
        <v>451</v>
      </c>
      <c r="E215" t="s">
        <v>17</v>
      </c>
      <c r="F215" s="3">
        <v>46101</v>
      </c>
      <c r="G215" s="1">
        <f>YEAR(Patient_data[[#This Row],[Appointment_Date]])</f>
        <v>2026</v>
      </c>
      <c r="H215" s="2" t="str">
        <f>TEXT(Patient_data[[#This Row],[Appointment_Date]],"mmmm")</f>
        <v>March</v>
      </c>
      <c r="I215" s="3" t="str">
        <f>TEXT(Patient_data[[#This Row],[Appointment_Date]],"mmm-yyyy")</f>
        <v>Mar-2026</v>
      </c>
      <c r="J215" s="3">
        <v>45486</v>
      </c>
      <c r="K215" t="s">
        <v>452</v>
      </c>
      <c r="L215" t="s">
        <v>43</v>
      </c>
      <c r="M215" s="4">
        <v>37.18</v>
      </c>
      <c r="N215" t="s">
        <v>20</v>
      </c>
      <c r="O215">
        <f>Patient_data[[#This Row],[Appointment_Date]]-Patient_data[[#This Row],[Booking_Date]]</f>
        <v>615</v>
      </c>
    </row>
    <row r="216" spans="1:15" x14ac:dyDescent="0.25">
      <c r="A216">
        <v>1082</v>
      </c>
      <c r="B216">
        <v>72</v>
      </c>
      <c r="C216" t="s">
        <v>378</v>
      </c>
      <c r="D216" t="s">
        <v>453</v>
      </c>
      <c r="E216" t="s">
        <v>17</v>
      </c>
      <c r="F216" s="3">
        <v>46002</v>
      </c>
      <c r="G216" s="1">
        <f>YEAR(Patient_data[[#This Row],[Appointment_Date]])</f>
        <v>2025</v>
      </c>
      <c r="H216" s="2" t="str">
        <f>TEXT(Patient_data[[#This Row],[Appointment_Date]],"mmmm")</f>
        <v>December</v>
      </c>
      <c r="I216" s="3" t="str">
        <f>TEXT(Patient_data[[#This Row],[Appointment_Date]],"mmm-yyyy")</f>
        <v>Dec-2025</v>
      </c>
      <c r="J216" s="3">
        <v>45681</v>
      </c>
      <c r="K216" t="s">
        <v>454</v>
      </c>
      <c r="L216" t="s">
        <v>30</v>
      </c>
      <c r="M216" s="4">
        <v>67.069999999999993</v>
      </c>
      <c r="N216" t="s">
        <v>20</v>
      </c>
      <c r="O216">
        <f>Patient_data[[#This Row],[Appointment_Date]]-Patient_data[[#This Row],[Booking_Date]]</f>
        <v>321</v>
      </c>
    </row>
    <row r="217" spans="1:15" x14ac:dyDescent="0.25">
      <c r="A217">
        <v>1075</v>
      </c>
      <c r="B217">
        <v>72</v>
      </c>
      <c r="C217" t="s">
        <v>378</v>
      </c>
      <c r="D217" t="s">
        <v>455</v>
      </c>
      <c r="E217" t="s">
        <v>28</v>
      </c>
      <c r="F217" s="3">
        <v>45824</v>
      </c>
      <c r="G217" s="1">
        <f>YEAR(Patient_data[[#This Row],[Appointment_Date]])</f>
        <v>2025</v>
      </c>
      <c r="H217" s="2" t="str">
        <f>TEXT(Patient_data[[#This Row],[Appointment_Date]],"mmmm")</f>
        <v>June</v>
      </c>
      <c r="I217" s="3" t="str">
        <f>TEXT(Patient_data[[#This Row],[Appointment_Date]],"mmm-yyyy")</f>
        <v>Jun-2025</v>
      </c>
      <c r="J217" s="3">
        <v>45527</v>
      </c>
      <c r="K217" t="s">
        <v>456</v>
      </c>
      <c r="L217" t="s">
        <v>19</v>
      </c>
      <c r="M217" s="4">
        <v>75.260000000000005</v>
      </c>
      <c r="N217" t="s">
        <v>24</v>
      </c>
      <c r="O217">
        <f>Patient_data[[#This Row],[Appointment_Date]]-Patient_data[[#This Row],[Booking_Date]]</f>
        <v>297</v>
      </c>
    </row>
    <row r="218" spans="1:15" x14ac:dyDescent="0.25">
      <c r="A218">
        <v>1093</v>
      </c>
      <c r="B218">
        <v>72</v>
      </c>
      <c r="C218" t="s">
        <v>378</v>
      </c>
      <c r="D218" t="s">
        <v>457</v>
      </c>
      <c r="E218" t="s">
        <v>17</v>
      </c>
      <c r="F218" s="3">
        <v>45828</v>
      </c>
      <c r="G218" s="1">
        <f>YEAR(Patient_data[[#This Row],[Appointment_Date]])</f>
        <v>2025</v>
      </c>
      <c r="H218" s="2" t="str">
        <f>TEXT(Patient_data[[#This Row],[Appointment_Date]],"mmmm")</f>
        <v>June</v>
      </c>
      <c r="I218" s="3" t="str">
        <f>TEXT(Patient_data[[#This Row],[Appointment_Date]],"mmm-yyyy")</f>
        <v>Jun-2025</v>
      </c>
      <c r="J218" s="3">
        <v>45553</v>
      </c>
      <c r="K218" t="s">
        <v>458</v>
      </c>
      <c r="L218" t="s">
        <v>23</v>
      </c>
      <c r="M218" s="4">
        <v>94.55</v>
      </c>
      <c r="N218" t="s">
        <v>24</v>
      </c>
      <c r="O218">
        <f>Patient_data[[#This Row],[Appointment_Date]]-Patient_data[[#This Row],[Booking_Date]]</f>
        <v>275</v>
      </c>
    </row>
    <row r="219" spans="1:15" x14ac:dyDescent="0.25">
      <c r="A219">
        <v>1051</v>
      </c>
      <c r="B219">
        <v>72</v>
      </c>
      <c r="C219" t="s">
        <v>378</v>
      </c>
      <c r="D219" t="s">
        <v>459</v>
      </c>
      <c r="E219" t="s">
        <v>28</v>
      </c>
      <c r="F219" s="3">
        <v>46086</v>
      </c>
      <c r="G219" s="1">
        <f>YEAR(Patient_data[[#This Row],[Appointment_Date]])</f>
        <v>2026</v>
      </c>
      <c r="H219" s="2" t="str">
        <f>TEXT(Patient_data[[#This Row],[Appointment_Date]],"mmmm")</f>
        <v>March</v>
      </c>
      <c r="I219" s="3" t="str">
        <f>TEXT(Patient_data[[#This Row],[Appointment_Date]],"mmm-yyyy")</f>
        <v>Mar-2026</v>
      </c>
      <c r="J219" s="3">
        <v>45742</v>
      </c>
      <c r="K219" t="s">
        <v>460</v>
      </c>
      <c r="L219" t="s">
        <v>23</v>
      </c>
      <c r="M219" s="4">
        <v>26.56</v>
      </c>
      <c r="N219" t="s">
        <v>24</v>
      </c>
      <c r="O219">
        <f>Patient_data[[#This Row],[Appointment_Date]]-Patient_data[[#This Row],[Booking_Date]]</f>
        <v>344</v>
      </c>
    </row>
    <row r="220" spans="1:15" x14ac:dyDescent="0.25">
      <c r="A220">
        <v>1030</v>
      </c>
      <c r="B220">
        <v>72</v>
      </c>
      <c r="C220" t="s">
        <v>378</v>
      </c>
      <c r="D220" t="s">
        <v>461</v>
      </c>
      <c r="E220" t="s">
        <v>28</v>
      </c>
      <c r="F220" s="3">
        <v>45787</v>
      </c>
      <c r="G220" s="1">
        <f>YEAR(Patient_data[[#This Row],[Appointment_Date]])</f>
        <v>2025</v>
      </c>
      <c r="H220" s="2" t="str">
        <f>TEXT(Patient_data[[#This Row],[Appointment_Date]],"mmmm")</f>
        <v>May</v>
      </c>
      <c r="I220" s="3" t="str">
        <f>TEXT(Patient_data[[#This Row],[Appointment_Date]],"mmm-yyyy")</f>
        <v>May-2025</v>
      </c>
      <c r="J220" s="3">
        <v>45715</v>
      </c>
      <c r="K220" t="s">
        <v>462</v>
      </c>
      <c r="L220" t="s">
        <v>19</v>
      </c>
      <c r="M220" s="4">
        <v>18.54</v>
      </c>
      <c r="N220" t="s">
        <v>20</v>
      </c>
      <c r="O220">
        <f>Patient_data[[#This Row],[Appointment_Date]]-Patient_data[[#This Row],[Booking_Date]]</f>
        <v>72</v>
      </c>
    </row>
    <row r="221" spans="1:15" x14ac:dyDescent="0.25">
      <c r="A221">
        <v>1010</v>
      </c>
      <c r="B221">
        <v>72</v>
      </c>
      <c r="C221" t="s">
        <v>378</v>
      </c>
      <c r="D221" t="s">
        <v>463</v>
      </c>
      <c r="E221" t="s">
        <v>28</v>
      </c>
      <c r="F221" s="3">
        <v>46069</v>
      </c>
      <c r="G221" s="1">
        <f>YEAR(Patient_data[[#This Row],[Appointment_Date]])</f>
        <v>2026</v>
      </c>
      <c r="H221" s="2" t="str">
        <f>TEXT(Patient_data[[#This Row],[Appointment_Date]],"mmmm")</f>
        <v>February</v>
      </c>
      <c r="I221" s="3" t="str">
        <f>TEXT(Patient_data[[#This Row],[Appointment_Date]],"mmm-yyyy")</f>
        <v>Feb-2026</v>
      </c>
      <c r="J221" s="3">
        <v>45480</v>
      </c>
      <c r="K221" t="s">
        <v>464</v>
      </c>
      <c r="L221" t="s">
        <v>23</v>
      </c>
      <c r="M221" s="4">
        <v>35.81</v>
      </c>
      <c r="N221" t="s">
        <v>20</v>
      </c>
      <c r="O221">
        <f>Patient_data[[#This Row],[Appointment_Date]]-Patient_data[[#This Row],[Booking_Date]]</f>
        <v>589</v>
      </c>
    </row>
    <row r="222" spans="1:15" x14ac:dyDescent="0.25">
      <c r="A222">
        <v>1081</v>
      </c>
      <c r="B222">
        <v>72</v>
      </c>
      <c r="C222" t="s">
        <v>378</v>
      </c>
      <c r="D222" t="s">
        <v>465</v>
      </c>
      <c r="E222" t="s">
        <v>28</v>
      </c>
      <c r="F222" s="3">
        <v>45751</v>
      </c>
      <c r="G222" s="1">
        <f>YEAR(Patient_data[[#This Row],[Appointment_Date]])</f>
        <v>2025</v>
      </c>
      <c r="H222" s="2" t="str">
        <f>TEXT(Patient_data[[#This Row],[Appointment_Date]],"mmmm")</f>
        <v>April</v>
      </c>
      <c r="I222" s="3" t="str">
        <f>TEXT(Patient_data[[#This Row],[Appointment_Date]],"mmm-yyyy")</f>
        <v>Apr-2025</v>
      </c>
      <c r="J222" s="3">
        <v>45643</v>
      </c>
      <c r="K222" t="s">
        <v>466</v>
      </c>
      <c r="L222" t="s">
        <v>23</v>
      </c>
      <c r="M222" s="4">
        <v>97</v>
      </c>
      <c r="N222" t="s">
        <v>20</v>
      </c>
      <c r="O222">
        <f>Patient_data[[#This Row],[Appointment_Date]]-Patient_data[[#This Row],[Booking_Date]]</f>
        <v>108</v>
      </c>
    </row>
    <row r="223" spans="1:15" x14ac:dyDescent="0.25">
      <c r="A223">
        <v>1065</v>
      </c>
      <c r="B223">
        <v>71</v>
      </c>
      <c r="C223" t="s">
        <v>378</v>
      </c>
      <c r="D223" t="s">
        <v>467</v>
      </c>
      <c r="E223" t="s">
        <v>28</v>
      </c>
      <c r="F223" s="3">
        <v>46088</v>
      </c>
      <c r="G223" s="1">
        <f>YEAR(Patient_data[[#This Row],[Appointment_Date]])</f>
        <v>2026</v>
      </c>
      <c r="H223" s="2" t="str">
        <f>TEXT(Patient_data[[#This Row],[Appointment_Date]],"mmmm")</f>
        <v>March</v>
      </c>
      <c r="I223" s="3" t="str">
        <f>TEXT(Patient_data[[#This Row],[Appointment_Date]],"mmm-yyyy")</f>
        <v>Mar-2026</v>
      </c>
      <c r="J223" s="3">
        <v>45746</v>
      </c>
      <c r="K223" t="s">
        <v>468</v>
      </c>
      <c r="L223" t="s">
        <v>30</v>
      </c>
      <c r="M223" s="4">
        <v>493.59</v>
      </c>
      <c r="N223" t="s">
        <v>24</v>
      </c>
      <c r="O223">
        <f>Patient_data[[#This Row],[Appointment_Date]]-Patient_data[[#This Row],[Booking_Date]]</f>
        <v>342</v>
      </c>
    </row>
    <row r="224" spans="1:15" x14ac:dyDescent="0.25">
      <c r="A224">
        <v>1018</v>
      </c>
      <c r="B224">
        <v>71</v>
      </c>
      <c r="C224" t="s">
        <v>378</v>
      </c>
      <c r="D224" t="s">
        <v>469</v>
      </c>
      <c r="E224" t="s">
        <v>17</v>
      </c>
      <c r="F224" s="3">
        <v>45794</v>
      </c>
      <c r="G224" s="1">
        <f>YEAR(Patient_data[[#This Row],[Appointment_Date]])</f>
        <v>2025</v>
      </c>
      <c r="H224" s="2" t="str">
        <f>TEXT(Patient_data[[#This Row],[Appointment_Date]],"mmmm")</f>
        <v>May</v>
      </c>
      <c r="I224" s="3" t="str">
        <f>TEXT(Patient_data[[#This Row],[Appointment_Date]],"mmm-yyyy")</f>
        <v>May-2025</v>
      </c>
      <c r="J224" s="3">
        <v>45651</v>
      </c>
      <c r="K224" t="s">
        <v>470</v>
      </c>
      <c r="L224" t="s">
        <v>19</v>
      </c>
      <c r="M224" s="4">
        <v>132.38</v>
      </c>
      <c r="N224" t="s">
        <v>24</v>
      </c>
      <c r="O224">
        <f>Patient_data[[#This Row],[Appointment_Date]]-Patient_data[[#This Row],[Booking_Date]]</f>
        <v>143</v>
      </c>
    </row>
    <row r="225" spans="1:15" x14ac:dyDescent="0.25">
      <c r="A225">
        <v>1013</v>
      </c>
      <c r="B225">
        <v>71</v>
      </c>
      <c r="C225" t="s">
        <v>378</v>
      </c>
      <c r="D225" t="s">
        <v>471</v>
      </c>
      <c r="E225" t="s">
        <v>17</v>
      </c>
      <c r="F225" s="3">
        <v>45874</v>
      </c>
      <c r="G225" s="1">
        <f>YEAR(Patient_data[[#This Row],[Appointment_Date]])</f>
        <v>2025</v>
      </c>
      <c r="H225" s="2" t="str">
        <f>TEXT(Patient_data[[#This Row],[Appointment_Date]],"mmmm")</f>
        <v>August</v>
      </c>
      <c r="I225" s="3" t="str">
        <f>TEXT(Patient_data[[#This Row],[Appointment_Date]],"mmm-yyyy")</f>
        <v>Aug-2025</v>
      </c>
      <c r="J225" s="3">
        <v>45845</v>
      </c>
      <c r="K225" t="s">
        <v>472</v>
      </c>
      <c r="L225" t="s">
        <v>43</v>
      </c>
      <c r="M225" s="4">
        <v>0.62</v>
      </c>
      <c r="N225" t="s">
        <v>20</v>
      </c>
      <c r="O225">
        <f>Patient_data[[#This Row],[Appointment_Date]]-Patient_data[[#This Row],[Booking_Date]]</f>
        <v>29</v>
      </c>
    </row>
    <row r="226" spans="1:15" x14ac:dyDescent="0.25">
      <c r="A226">
        <v>1084</v>
      </c>
      <c r="B226">
        <v>71</v>
      </c>
      <c r="C226" t="s">
        <v>378</v>
      </c>
      <c r="D226" t="s">
        <v>473</v>
      </c>
      <c r="E226" t="s">
        <v>17</v>
      </c>
      <c r="F226" s="3">
        <v>45767</v>
      </c>
      <c r="G226" s="1">
        <f>YEAR(Patient_data[[#This Row],[Appointment_Date]])</f>
        <v>2025</v>
      </c>
      <c r="H226" s="2" t="str">
        <f>TEXT(Patient_data[[#This Row],[Appointment_Date]],"mmmm")</f>
        <v>April</v>
      </c>
      <c r="I226" s="3" t="str">
        <f>TEXT(Patient_data[[#This Row],[Appointment_Date]],"mmm-yyyy")</f>
        <v>Apr-2025</v>
      </c>
      <c r="J226" s="3">
        <v>45504</v>
      </c>
      <c r="K226" t="s">
        <v>474</v>
      </c>
      <c r="L226" t="s">
        <v>30</v>
      </c>
      <c r="M226" s="4">
        <v>5.4</v>
      </c>
      <c r="N226" t="s">
        <v>20</v>
      </c>
      <c r="O226">
        <f>Patient_data[[#This Row],[Appointment_Date]]-Patient_data[[#This Row],[Booking_Date]]</f>
        <v>263</v>
      </c>
    </row>
    <row r="227" spans="1:15" x14ac:dyDescent="0.25">
      <c r="A227">
        <v>1051</v>
      </c>
      <c r="B227">
        <v>71</v>
      </c>
      <c r="C227" t="s">
        <v>378</v>
      </c>
      <c r="D227" t="s">
        <v>475</v>
      </c>
      <c r="E227" t="s">
        <v>28</v>
      </c>
      <c r="F227" s="3">
        <v>46049</v>
      </c>
      <c r="G227" s="1">
        <f>YEAR(Patient_data[[#This Row],[Appointment_Date]])</f>
        <v>2026</v>
      </c>
      <c r="H227" s="2" t="str">
        <f>TEXT(Patient_data[[#This Row],[Appointment_Date]],"mmmm")</f>
        <v>January</v>
      </c>
      <c r="I227" s="3" t="str">
        <f>TEXT(Patient_data[[#This Row],[Appointment_Date]],"mmm-yyyy")</f>
        <v>Jan-2026</v>
      </c>
      <c r="J227" s="3">
        <v>45723</v>
      </c>
      <c r="K227" t="s">
        <v>476</v>
      </c>
      <c r="L227" t="s">
        <v>30</v>
      </c>
      <c r="M227" s="4">
        <v>84.79</v>
      </c>
      <c r="N227" t="s">
        <v>24</v>
      </c>
      <c r="O227">
        <f>Patient_data[[#This Row],[Appointment_Date]]-Patient_data[[#This Row],[Booking_Date]]</f>
        <v>326</v>
      </c>
    </row>
    <row r="228" spans="1:15" x14ac:dyDescent="0.25">
      <c r="A228">
        <v>1055</v>
      </c>
      <c r="B228">
        <v>71</v>
      </c>
      <c r="C228" t="s">
        <v>378</v>
      </c>
      <c r="D228" t="s">
        <v>477</v>
      </c>
      <c r="E228" t="s">
        <v>17</v>
      </c>
      <c r="F228" s="3">
        <v>45794</v>
      </c>
      <c r="G228" s="1">
        <f>YEAR(Patient_data[[#This Row],[Appointment_Date]])</f>
        <v>2025</v>
      </c>
      <c r="H228" s="2" t="str">
        <f>TEXT(Patient_data[[#This Row],[Appointment_Date]],"mmmm")</f>
        <v>May</v>
      </c>
      <c r="I228" s="3" t="str">
        <f>TEXT(Patient_data[[#This Row],[Appointment_Date]],"mmm-yyyy")</f>
        <v>May-2025</v>
      </c>
      <c r="J228" s="3">
        <v>45501</v>
      </c>
      <c r="K228" t="s">
        <v>478</v>
      </c>
      <c r="L228" t="s">
        <v>43</v>
      </c>
      <c r="M228" s="4">
        <v>4.3600000000000003</v>
      </c>
      <c r="N228" t="s">
        <v>24</v>
      </c>
      <c r="O228">
        <f>Patient_data[[#This Row],[Appointment_Date]]-Patient_data[[#This Row],[Booking_Date]]</f>
        <v>293</v>
      </c>
    </row>
    <row r="229" spans="1:15" x14ac:dyDescent="0.25">
      <c r="A229">
        <v>1056</v>
      </c>
      <c r="B229">
        <v>71</v>
      </c>
      <c r="C229" t="s">
        <v>378</v>
      </c>
      <c r="D229" t="s">
        <v>479</v>
      </c>
      <c r="E229" t="s">
        <v>28</v>
      </c>
      <c r="F229" s="3">
        <v>45984</v>
      </c>
      <c r="G229" s="1">
        <f>YEAR(Patient_data[[#This Row],[Appointment_Date]])</f>
        <v>2025</v>
      </c>
      <c r="H229" s="2" t="str">
        <f>TEXT(Patient_data[[#This Row],[Appointment_Date]],"mmmm")</f>
        <v>November</v>
      </c>
      <c r="I229" s="3" t="str">
        <f>TEXT(Patient_data[[#This Row],[Appointment_Date]],"mmm-yyyy")</f>
        <v>Nov-2025</v>
      </c>
      <c r="J229" s="3">
        <v>45885</v>
      </c>
      <c r="K229" t="s">
        <v>480</v>
      </c>
      <c r="L229" t="s">
        <v>23</v>
      </c>
      <c r="M229" s="4">
        <v>43.46</v>
      </c>
      <c r="N229" t="s">
        <v>20</v>
      </c>
      <c r="O229">
        <f>Patient_data[[#This Row],[Appointment_Date]]-Patient_data[[#This Row],[Booking_Date]]</f>
        <v>99</v>
      </c>
    </row>
    <row r="230" spans="1:15" x14ac:dyDescent="0.25">
      <c r="A230">
        <v>1010</v>
      </c>
      <c r="B230">
        <v>71</v>
      </c>
      <c r="C230" t="s">
        <v>378</v>
      </c>
      <c r="D230" t="s">
        <v>481</v>
      </c>
      <c r="E230" t="s">
        <v>28</v>
      </c>
      <c r="F230" s="3">
        <v>45838</v>
      </c>
      <c r="G230" s="1">
        <f>YEAR(Patient_data[[#This Row],[Appointment_Date]])</f>
        <v>2025</v>
      </c>
      <c r="H230" s="2" t="str">
        <f>TEXT(Patient_data[[#This Row],[Appointment_Date]],"mmmm")</f>
        <v>June</v>
      </c>
      <c r="I230" s="3" t="str">
        <f>TEXT(Patient_data[[#This Row],[Appointment_Date]],"mmm-yyyy")</f>
        <v>Jun-2025</v>
      </c>
      <c r="J230" s="3">
        <v>45517</v>
      </c>
      <c r="K230" t="s">
        <v>482</v>
      </c>
      <c r="L230" t="s">
        <v>43</v>
      </c>
      <c r="M230" s="4">
        <v>30.71</v>
      </c>
      <c r="N230" t="s">
        <v>24</v>
      </c>
      <c r="O230">
        <f>Patient_data[[#This Row],[Appointment_Date]]-Patient_data[[#This Row],[Booking_Date]]</f>
        <v>321</v>
      </c>
    </row>
    <row r="231" spans="1:15" x14ac:dyDescent="0.25">
      <c r="A231">
        <v>1034</v>
      </c>
      <c r="B231">
        <v>71</v>
      </c>
      <c r="C231" t="s">
        <v>378</v>
      </c>
      <c r="D231" t="s">
        <v>483</v>
      </c>
      <c r="E231" t="s">
        <v>17</v>
      </c>
      <c r="F231" s="3">
        <v>46017</v>
      </c>
      <c r="G231" s="1">
        <f>YEAR(Patient_data[[#This Row],[Appointment_Date]])</f>
        <v>2025</v>
      </c>
      <c r="H231" s="2" t="str">
        <f>TEXT(Patient_data[[#This Row],[Appointment_Date]],"mmmm")</f>
        <v>December</v>
      </c>
      <c r="I231" s="3" t="str">
        <f>TEXT(Patient_data[[#This Row],[Appointment_Date]],"mmm-yyyy")</f>
        <v>Dec-2025</v>
      </c>
      <c r="J231" s="3">
        <v>45409</v>
      </c>
      <c r="K231" t="s">
        <v>484</v>
      </c>
      <c r="L231" t="s">
        <v>19</v>
      </c>
      <c r="M231" s="4">
        <v>461.04</v>
      </c>
      <c r="N231" t="s">
        <v>20</v>
      </c>
      <c r="O231">
        <f>Patient_data[[#This Row],[Appointment_Date]]-Patient_data[[#This Row],[Booking_Date]]</f>
        <v>608</v>
      </c>
    </row>
    <row r="232" spans="1:15" x14ac:dyDescent="0.25">
      <c r="A232">
        <v>1056</v>
      </c>
      <c r="B232">
        <v>71</v>
      </c>
      <c r="C232" t="s">
        <v>378</v>
      </c>
      <c r="D232" t="s">
        <v>485</v>
      </c>
      <c r="E232" t="s">
        <v>17</v>
      </c>
      <c r="F232" s="3">
        <v>46031</v>
      </c>
      <c r="G232" s="1">
        <f>YEAR(Patient_data[[#This Row],[Appointment_Date]])</f>
        <v>2026</v>
      </c>
      <c r="H232" s="2" t="str">
        <f>TEXT(Patient_data[[#This Row],[Appointment_Date]],"mmmm")</f>
        <v>January</v>
      </c>
      <c r="I232" s="3" t="str">
        <f>TEXT(Patient_data[[#This Row],[Appointment_Date]],"mmm-yyyy")</f>
        <v>Jan-2026</v>
      </c>
      <c r="J232" s="3">
        <v>46006</v>
      </c>
      <c r="K232" t="s">
        <v>486</v>
      </c>
      <c r="L232" t="s">
        <v>23</v>
      </c>
      <c r="M232" s="4">
        <v>23</v>
      </c>
      <c r="N232" t="s">
        <v>20</v>
      </c>
      <c r="O232">
        <f>Patient_data[[#This Row],[Appointment_Date]]-Patient_data[[#This Row],[Booking_Date]]</f>
        <v>25</v>
      </c>
    </row>
    <row r="233" spans="1:15" x14ac:dyDescent="0.25">
      <c r="A233">
        <v>1022</v>
      </c>
      <c r="B233">
        <v>70</v>
      </c>
      <c r="C233" t="s">
        <v>378</v>
      </c>
      <c r="D233" t="s">
        <v>487</v>
      </c>
      <c r="E233" t="s">
        <v>17</v>
      </c>
      <c r="F233" s="3">
        <v>45921</v>
      </c>
      <c r="G233" s="1">
        <f>YEAR(Patient_data[[#This Row],[Appointment_Date]])</f>
        <v>2025</v>
      </c>
      <c r="H233" s="2" t="str">
        <f>TEXT(Patient_data[[#This Row],[Appointment_Date]],"mmmm")</f>
        <v>September</v>
      </c>
      <c r="I233" s="3" t="str">
        <f>TEXT(Patient_data[[#This Row],[Appointment_Date]],"mmm-yyyy")</f>
        <v>Sep-2025</v>
      </c>
      <c r="J233" s="3">
        <v>45602</v>
      </c>
      <c r="K233" t="s">
        <v>488</v>
      </c>
      <c r="L233" t="s">
        <v>43</v>
      </c>
      <c r="M233" s="4">
        <v>11.01</v>
      </c>
      <c r="N233" t="s">
        <v>24</v>
      </c>
      <c r="O233">
        <f>Patient_data[[#This Row],[Appointment_Date]]-Patient_data[[#This Row],[Booking_Date]]</f>
        <v>319</v>
      </c>
    </row>
    <row r="234" spans="1:15" x14ac:dyDescent="0.25">
      <c r="A234">
        <v>1056</v>
      </c>
      <c r="B234">
        <v>70</v>
      </c>
      <c r="C234" t="s">
        <v>378</v>
      </c>
      <c r="D234" t="s">
        <v>489</v>
      </c>
      <c r="E234" t="s">
        <v>28</v>
      </c>
      <c r="F234" s="3">
        <v>46017</v>
      </c>
      <c r="G234" s="1">
        <f>YEAR(Patient_data[[#This Row],[Appointment_Date]])</f>
        <v>2025</v>
      </c>
      <c r="H234" s="2" t="str">
        <f>TEXT(Patient_data[[#This Row],[Appointment_Date]],"mmmm")</f>
        <v>December</v>
      </c>
      <c r="I234" s="3" t="str">
        <f>TEXT(Patient_data[[#This Row],[Appointment_Date]],"mmm-yyyy")</f>
        <v>Dec-2025</v>
      </c>
      <c r="J234" s="3">
        <v>45882</v>
      </c>
      <c r="K234" t="s">
        <v>490</v>
      </c>
      <c r="L234" t="s">
        <v>23</v>
      </c>
      <c r="M234" s="4">
        <v>64.83</v>
      </c>
      <c r="N234" t="s">
        <v>24</v>
      </c>
      <c r="O234">
        <f>Patient_data[[#This Row],[Appointment_Date]]-Patient_data[[#This Row],[Booking_Date]]</f>
        <v>135</v>
      </c>
    </row>
    <row r="235" spans="1:15" x14ac:dyDescent="0.25">
      <c r="A235">
        <v>1090</v>
      </c>
      <c r="B235">
        <v>70</v>
      </c>
      <c r="C235" t="s">
        <v>378</v>
      </c>
      <c r="D235" t="s">
        <v>491</v>
      </c>
      <c r="E235" t="s">
        <v>28</v>
      </c>
      <c r="F235" s="3">
        <v>46000</v>
      </c>
      <c r="G235" s="1">
        <f>YEAR(Patient_data[[#This Row],[Appointment_Date]])</f>
        <v>2025</v>
      </c>
      <c r="H235" s="2" t="str">
        <f>TEXT(Patient_data[[#This Row],[Appointment_Date]],"mmmm")</f>
        <v>December</v>
      </c>
      <c r="I235" s="3" t="str">
        <f>TEXT(Patient_data[[#This Row],[Appointment_Date]],"mmm-yyyy")</f>
        <v>Dec-2025</v>
      </c>
      <c r="J235" s="3">
        <v>45612</v>
      </c>
      <c r="K235" t="s">
        <v>492</v>
      </c>
      <c r="L235" t="s">
        <v>43</v>
      </c>
      <c r="M235" s="4">
        <v>459.66</v>
      </c>
      <c r="N235" t="s">
        <v>24</v>
      </c>
      <c r="O235">
        <f>Patient_data[[#This Row],[Appointment_Date]]-Patient_data[[#This Row],[Booking_Date]]</f>
        <v>388</v>
      </c>
    </row>
    <row r="236" spans="1:15" x14ac:dyDescent="0.25">
      <c r="A236">
        <v>1054</v>
      </c>
      <c r="B236">
        <v>70</v>
      </c>
      <c r="C236" t="s">
        <v>378</v>
      </c>
      <c r="D236" t="s">
        <v>493</v>
      </c>
      <c r="E236" t="s">
        <v>17</v>
      </c>
      <c r="F236" s="3">
        <v>45964</v>
      </c>
      <c r="G236" s="1">
        <f>YEAR(Patient_data[[#This Row],[Appointment_Date]])</f>
        <v>2025</v>
      </c>
      <c r="H236" s="2" t="str">
        <f>TEXT(Patient_data[[#This Row],[Appointment_Date]],"mmmm")</f>
        <v>November</v>
      </c>
      <c r="I236" s="3" t="str">
        <f>TEXT(Patient_data[[#This Row],[Appointment_Date]],"mmm-yyyy")</f>
        <v>Nov-2025</v>
      </c>
      <c r="J236" s="3">
        <v>45824</v>
      </c>
      <c r="K236" t="s">
        <v>494</v>
      </c>
      <c r="L236" t="s">
        <v>30</v>
      </c>
      <c r="M236" s="4">
        <v>31.18</v>
      </c>
      <c r="N236" t="s">
        <v>24</v>
      </c>
      <c r="O236">
        <f>Patient_data[[#This Row],[Appointment_Date]]-Patient_data[[#This Row],[Booking_Date]]</f>
        <v>140</v>
      </c>
    </row>
    <row r="237" spans="1:15" x14ac:dyDescent="0.25">
      <c r="A237">
        <v>1087</v>
      </c>
      <c r="B237">
        <v>70</v>
      </c>
      <c r="C237" t="s">
        <v>378</v>
      </c>
      <c r="D237" t="s">
        <v>495</v>
      </c>
      <c r="E237" t="s">
        <v>28</v>
      </c>
      <c r="F237" s="3">
        <v>45912</v>
      </c>
      <c r="G237" s="1">
        <f>YEAR(Patient_data[[#This Row],[Appointment_Date]])</f>
        <v>2025</v>
      </c>
      <c r="H237" s="2" t="str">
        <f>TEXT(Patient_data[[#This Row],[Appointment_Date]],"mmmm")</f>
        <v>September</v>
      </c>
      <c r="I237" s="3" t="str">
        <f>TEXT(Patient_data[[#This Row],[Appointment_Date]],"mmm-yyyy")</f>
        <v>Sep-2025</v>
      </c>
      <c r="J237" s="3">
        <v>45446</v>
      </c>
      <c r="K237" t="s">
        <v>496</v>
      </c>
      <c r="L237" t="s">
        <v>19</v>
      </c>
      <c r="M237" s="4">
        <v>67.31</v>
      </c>
      <c r="N237" t="s">
        <v>24</v>
      </c>
      <c r="O237">
        <f>Patient_data[[#This Row],[Appointment_Date]]-Patient_data[[#This Row],[Booking_Date]]</f>
        <v>466</v>
      </c>
    </row>
    <row r="238" spans="1:15" x14ac:dyDescent="0.25">
      <c r="A238">
        <v>1001</v>
      </c>
      <c r="B238">
        <v>70</v>
      </c>
      <c r="C238" t="s">
        <v>378</v>
      </c>
      <c r="D238" t="s">
        <v>497</v>
      </c>
      <c r="E238" t="s">
        <v>17</v>
      </c>
      <c r="F238" s="3">
        <v>46041</v>
      </c>
      <c r="G238" s="1">
        <f>YEAR(Patient_data[[#This Row],[Appointment_Date]])</f>
        <v>2026</v>
      </c>
      <c r="H238" s="2" t="str">
        <f>TEXT(Patient_data[[#This Row],[Appointment_Date]],"mmmm")</f>
        <v>January</v>
      </c>
      <c r="I238" s="3" t="str">
        <f>TEXT(Patient_data[[#This Row],[Appointment_Date]],"mmm-yyyy")</f>
        <v>Jan-2026</v>
      </c>
      <c r="J238" s="3">
        <v>45674</v>
      </c>
      <c r="K238" t="s">
        <v>498</v>
      </c>
      <c r="L238" t="s">
        <v>23</v>
      </c>
      <c r="M238" s="4">
        <v>48.74</v>
      </c>
      <c r="N238" t="s">
        <v>24</v>
      </c>
      <c r="O238">
        <f>Patient_data[[#This Row],[Appointment_Date]]-Patient_data[[#This Row],[Booking_Date]]</f>
        <v>367</v>
      </c>
    </row>
    <row r="239" spans="1:15" x14ac:dyDescent="0.25">
      <c r="A239">
        <v>1053</v>
      </c>
      <c r="B239">
        <v>70</v>
      </c>
      <c r="C239" t="s">
        <v>378</v>
      </c>
      <c r="D239" t="s">
        <v>499</v>
      </c>
      <c r="E239" t="s">
        <v>17</v>
      </c>
      <c r="F239" s="3">
        <v>46012</v>
      </c>
      <c r="G239" s="1">
        <f>YEAR(Patient_data[[#This Row],[Appointment_Date]])</f>
        <v>2025</v>
      </c>
      <c r="H239" s="2" t="str">
        <f>TEXT(Patient_data[[#This Row],[Appointment_Date]],"mmmm")</f>
        <v>December</v>
      </c>
      <c r="I239" s="3" t="str">
        <f>TEXT(Patient_data[[#This Row],[Appointment_Date]],"mmm-yyyy")</f>
        <v>Dec-2025</v>
      </c>
      <c r="J239" s="3">
        <v>45876</v>
      </c>
      <c r="K239" t="s">
        <v>500</v>
      </c>
      <c r="L239" t="s">
        <v>19</v>
      </c>
      <c r="M239" s="4">
        <v>389.49</v>
      </c>
      <c r="N239" t="s">
        <v>20</v>
      </c>
      <c r="O239">
        <f>Patient_data[[#This Row],[Appointment_Date]]-Patient_data[[#This Row],[Booking_Date]]</f>
        <v>136</v>
      </c>
    </row>
    <row r="240" spans="1:15" x14ac:dyDescent="0.25">
      <c r="A240">
        <v>1055</v>
      </c>
      <c r="B240">
        <v>70</v>
      </c>
      <c r="C240" t="s">
        <v>378</v>
      </c>
      <c r="D240" t="s">
        <v>501</v>
      </c>
      <c r="E240" t="s">
        <v>28</v>
      </c>
      <c r="F240" s="3">
        <v>45895</v>
      </c>
      <c r="G240" s="1">
        <f>YEAR(Patient_data[[#This Row],[Appointment_Date]])</f>
        <v>2025</v>
      </c>
      <c r="H240" s="2" t="str">
        <f>TEXT(Patient_data[[#This Row],[Appointment_Date]],"mmmm")</f>
        <v>August</v>
      </c>
      <c r="I240" s="3" t="str">
        <f>TEXT(Patient_data[[#This Row],[Appointment_Date]],"mmm-yyyy")</f>
        <v>Aug-2025</v>
      </c>
      <c r="J240" s="3">
        <v>45645</v>
      </c>
      <c r="K240" t="s">
        <v>502</v>
      </c>
      <c r="L240" t="s">
        <v>43</v>
      </c>
      <c r="M240" s="4">
        <v>12.66</v>
      </c>
      <c r="N240" t="s">
        <v>20</v>
      </c>
      <c r="O240">
        <f>Patient_data[[#This Row],[Appointment_Date]]-Patient_data[[#This Row],[Booking_Date]]</f>
        <v>250</v>
      </c>
    </row>
    <row r="241" spans="1:15" x14ac:dyDescent="0.25">
      <c r="A241">
        <v>1018</v>
      </c>
      <c r="B241">
        <v>70</v>
      </c>
      <c r="C241" t="s">
        <v>378</v>
      </c>
      <c r="D241" t="s">
        <v>503</v>
      </c>
      <c r="E241" t="s">
        <v>28</v>
      </c>
      <c r="F241" s="3">
        <v>45778</v>
      </c>
      <c r="G241" s="1">
        <f>YEAR(Patient_data[[#This Row],[Appointment_Date]])</f>
        <v>2025</v>
      </c>
      <c r="H241" s="2" t="str">
        <f>TEXT(Patient_data[[#This Row],[Appointment_Date]],"mmmm")</f>
        <v>May</v>
      </c>
      <c r="I241" s="3" t="str">
        <f>TEXT(Patient_data[[#This Row],[Appointment_Date]],"mmm-yyyy")</f>
        <v>May-2025</v>
      </c>
      <c r="J241" s="3">
        <v>45552</v>
      </c>
      <c r="K241" t="s">
        <v>504</v>
      </c>
      <c r="L241" t="s">
        <v>30</v>
      </c>
      <c r="M241" s="4">
        <v>3.35</v>
      </c>
      <c r="N241" t="s">
        <v>24</v>
      </c>
      <c r="O241">
        <f>Patient_data[[#This Row],[Appointment_Date]]-Patient_data[[#This Row],[Booking_Date]]</f>
        <v>226</v>
      </c>
    </row>
    <row r="242" spans="1:15" x14ac:dyDescent="0.25">
      <c r="A242">
        <v>1096</v>
      </c>
      <c r="B242">
        <v>70</v>
      </c>
      <c r="C242" t="s">
        <v>378</v>
      </c>
      <c r="D242" t="s">
        <v>505</v>
      </c>
      <c r="E242" t="s">
        <v>28</v>
      </c>
      <c r="F242" s="3">
        <v>45820</v>
      </c>
      <c r="G242" s="1">
        <f>YEAR(Patient_data[[#This Row],[Appointment_Date]])</f>
        <v>2025</v>
      </c>
      <c r="H242" s="2" t="str">
        <f>TEXT(Patient_data[[#This Row],[Appointment_Date]],"mmmm")</f>
        <v>June</v>
      </c>
      <c r="I242" s="3" t="str">
        <f>TEXT(Patient_data[[#This Row],[Appointment_Date]],"mmm-yyyy")</f>
        <v>Jun-2025</v>
      </c>
      <c r="J242" s="3">
        <v>45623</v>
      </c>
      <c r="K242" t="s">
        <v>506</v>
      </c>
      <c r="L242" t="s">
        <v>19</v>
      </c>
      <c r="M242" s="4">
        <v>44.89</v>
      </c>
      <c r="N242" t="s">
        <v>24</v>
      </c>
      <c r="O242">
        <f>Patient_data[[#This Row],[Appointment_Date]]-Patient_data[[#This Row],[Booking_Date]]</f>
        <v>197</v>
      </c>
    </row>
    <row r="243" spans="1:15" x14ac:dyDescent="0.25">
      <c r="A243">
        <v>1074</v>
      </c>
      <c r="B243">
        <v>69</v>
      </c>
      <c r="C243" t="s">
        <v>378</v>
      </c>
      <c r="D243" t="s">
        <v>507</v>
      </c>
      <c r="E243" t="s">
        <v>28</v>
      </c>
      <c r="F243" s="3">
        <v>45800</v>
      </c>
      <c r="G243" s="1">
        <f>YEAR(Patient_data[[#This Row],[Appointment_Date]])</f>
        <v>2025</v>
      </c>
      <c r="H243" s="2" t="str">
        <f>TEXT(Patient_data[[#This Row],[Appointment_Date]],"mmmm")</f>
        <v>May</v>
      </c>
      <c r="I243" s="3" t="str">
        <f>TEXT(Patient_data[[#This Row],[Appointment_Date]],"mmm-yyyy")</f>
        <v>May-2025</v>
      </c>
      <c r="J243" s="3">
        <v>45455</v>
      </c>
      <c r="K243" t="s">
        <v>508</v>
      </c>
      <c r="L243" t="s">
        <v>43</v>
      </c>
      <c r="M243" s="4">
        <v>44.26</v>
      </c>
      <c r="N243" t="s">
        <v>24</v>
      </c>
      <c r="O243">
        <f>Patient_data[[#This Row],[Appointment_Date]]-Patient_data[[#This Row],[Booking_Date]]</f>
        <v>345</v>
      </c>
    </row>
    <row r="244" spans="1:15" x14ac:dyDescent="0.25">
      <c r="A244">
        <v>1008</v>
      </c>
      <c r="B244">
        <v>69</v>
      </c>
      <c r="C244" t="s">
        <v>378</v>
      </c>
      <c r="D244" t="s">
        <v>509</v>
      </c>
      <c r="E244" t="s">
        <v>28</v>
      </c>
      <c r="F244" s="3">
        <v>45931</v>
      </c>
      <c r="G244" s="1">
        <f>YEAR(Patient_data[[#This Row],[Appointment_Date]])</f>
        <v>2025</v>
      </c>
      <c r="H244" s="2" t="str">
        <f>TEXT(Patient_data[[#This Row],[Appointment_Date]],"mmmm")</f>
        <v>October</v>
      </c>
      <c r="I244" s="3" t="str">
        <f>TEXT(Patient_data[[#This Row],[Appointment_Date]],"mmm-yyyy")</f>
        <v>Oct-2025</v>
      </c>
      <c r="J244" s="3">
        <v>45435</v>
      </c>
      <c r="K244" t="s">
        <v>510</v>
      </c>
      <c r="L244" t="s">
        <v>43</v>
      </c>
      <c r="M244" s="4">
        <v>58.21</v>
      </c>
      <c r="N244" t="s">
        <v>20</v>
      </c>
      <c r="O244">
        <f>Patient_data[[#This Row],[Appointment_Date]]-Patient_data[[#This Row],[Booking_Date]]</f>
        <v>496</v>
      </c>
    </row>
    <row r="245" spans="1:15" x14ac:dyDescent="0.25">
      <c r="A245">
        <v>1005</v>
      </c>
      <c r="B245">
        <v>69</v>
      </c>
      <c r="C245" t="s">
        <v>378</v>
      </c>
      <c r="D245" t="s">
        <v>511</v>
      </c>
      <c r="E245" t="s">
        <v>17</v>
      </c>
      <c r="F245" s="3">
        <v>46083</v>
      </c>
      <c r="G245" s="1">
        <f>YEAR(Patient_data[[#This Row],[Appointment_Date]])</f>
        <v>2026</v>
      </c>
      <c r="H245" s="2" t="str">
        <f>TEXT(Patient_data[[#This Row],[Appointment_Date]],"mmmm")</f>
        <v>March</v>
      </c>
      <c r="I245" s="3" t="str">
        <f>TEXT(Patient_data[[#This Row],[Appointment_Date]],"mmm-yyyy")</f>
        <v>Mar-2026</v>
      </c>
      <c r="J245" s="3">
        <v>45617</v>
      </c>
      <c r="K245" t="s">
        <v>512</v>
      </c>
      <c r="L245" t="s">
        <v>23</v>
      </c>
      <c r="M245" s="4">
        <v>83.09</v>
      </c>
      <c r="N245" t="s">
        <v>24</v>
      </c>
      <c r="O245">
        <f>Patient_data[[#This Row],[Appointment_Date]]-Patient_data[[#This Row],[Booking_Date]]</f>
        <v>466</v>
      </c>
    </row>
    <row r="246" spans="1:15" x14ac:dyDescent="0.25">
      <c r="A246">
        <v>1078</v>
      </c>
      <c r="B246">
        <v>69</v>
      </c>
      <c r="C246" t="s">
        <v>378</v>
      </c>
      <c r="D246" t="s">
        <v>513</v>
      </c>
      <c r="E246" t="s">
        <v>28</v>
      </c>
      <c r="F246" s="3">
        <v>45988</v>
      </c>
      <c r="G246" s="1">
        <f>YEAR(Patient_data[[#This Row],[Appointment_Date]])</f>
        <v>2025</v>
      </c>
      <c r="H246" s="2" t="str">
        <f>TEXT(Patient_data[[#This Row],[Appointment_Date]],"mmmm")</f>
        <v>November</v>
      </c>
      <c r="I246" s="3" t="str">
        <f>TEXT(Patient_data[[#This Row],[Appointment_Date]],"mmm-yyyy")</f>
        <v>Nov-2025</v>
      </c>
      <c r="J246" s="3">
        <v>45430</v>
      </c>
      <c r="K246" t="s">
        <v>514</v>
      </c>
      <c r="L246" t="s">
        <v>43</v>
      </c>
      <c r="M246" s="4">
        <v>51.17</v>
      </c>
      <c r="N246" t="s">
        <v>20</v>
      </c>
      <c r="O246">
        <f>Patient_data[[#This Row],[Appointment_Date]]-Patient_data[[#This Row],[Booking_Date]]</f>
        <v>558</v>
      </c>
    </row>
    <row r="247" spans="1:15" x14ac:dyDescent="0.25">
      <c r="A247">
        <v>1008</v>
      </c>
      <c r="B247">
        <v>69</v>
      </c>
      <c r="C247" t="s">
        <v>378</v>
      </c>
      <c r="D247" t="s">
        <v>515</v>
      </c>
      <c r="E247" t="s">
        <v>17</v>
      </c>
      <c r="F247" s="3">
        <v>45785</v>
      </c>
      <c r="G247" s="1">
        <f>YEAR(Patient_data[[#This Row],[Appointment_Date]])</f>
        <v>2025</v>
      </c>
      <c r="H247" s="2" t="str">
        <f>TEXT(Patient_data[[#This Row],[Appointment_Date]],"mmmm")</f>
        <v>May</v>
      </c>
      <c r="I247" s="3" t="str">
        <f>TEXT(Patient_data[[#This Row],[Appointment_Date]],"mmm-yyyy")</f>
        <v>May-2025</v>
      </c>
      <c r="J247" s="3">
        <v>45681</v>
      </c>
      <c r="K247" t="s">
        <v>516</v>
      </c>
      <c r="L247" t="s">
        <v>19</v>
      </c>
      <c r="M247" s="4">
        <v>17.14</v>
      </c>
      <c r="N247" t="s">
        <v>24</v>
      </c>
      <c r="O247">
        <f>Patient_data[[#This Row],[Appointment_Date]]-Patient_data[[#This Row],[Booking_Date]]</f>
        <v>104</v>
      </c>
    </row>
    <row r="248" spans="1:15" x14ac:dyDescent="0.25">
      <c r="A248">
        <v>1043</v>
      </c>
      <c r="B248">
        <v>69</v>
      </c>
      <c r="C248" t="s">
        <v>378</v>
      </c>
      <c r="D248" t="s">
        <v>517</v>
      </c>
      <c r="E248" t="s">
        <v>17</v>
      </c>
      <c r="F248" s="3">
        <v>45783</v>
      </c>
      <c r="G248" s="1">
        <f>YEAR(Patient_data[[#This Row],[Appointment_Date]])</f>
        <v>2025</v>
      </c>
      <c r="H248" s="2" t="str">
        <f>TEXT(Patient_data[[#This Row],[Appointment_Date]],"mmmm")</f>
        <v>May</v>
      </c>
      <c r="I248" s="3" t="str">
        <f>TEXT(Patient_data[[#This Row],[Appointment_Date]],"mmm-yyyy")</f>
        <v>May-2025</v>
      </c>
      <c r="J248" s="3">
        <v>45563</v>
      </c>
      <c r="K248" t="s">
        <v>518</v>
      </c>
      <c r="L248" t="s">
        <v>30</v>
      </c>
      <c r="M248" s="4">
        <v>58.12</v>
      </c>
      <c r="N248" t="s">
        <v>24</v>
      </c>
      <c r="O248">
        <f>Patient_data[[#This Row],[Appointment_Date]]-Patient_data[[#This Row],[Booking_Date]]</f>
        <v>220</v>
      </c>
    </row>
    <row r="249" spans="1:15" x14ac:dyDescent="0.25">
      <c r="A249">
        <v>1080</v>
      </c>
      <c r="B249">
        <v>69</v>
      </c>
      <c r="C249" t="s">
        <v>378</v>
      </c>
      <c r="D249" t="s">
        <v>519</v>
      </c>
      <c r="E249" t="s">
        <v>17</v>
      </c>
      <c r="F249" s="3">
        <v>45945</v>
      </c>
      <c r="G249" s="1">
        <f>YEAR(Patient_data[[#This Row],[Appointment_Date]])</f>
        <v>2025</v>
      </c>
      <c r="H249" s="2" t="str">
        <f>TEXT(Patient_data[[#This Row],[Appointment_Date]],"mmmm")</f>
        <v>October</v>
      </c>
      <c r="I249" s="3" t="str">
        <f>TEXT(Patient_data[[#This Row],[Appointment_Date]],"mmm-yyyy")</f>
        <v>Oct-2025</v>
      </c>
      <c r="J249" s="3">
        <v>45819</v>
      </c>
      <c r="K249" t="s">
        <v>520</v>
      </c>
      <c r="L249" t="s">
        <v>23</v>
      </c>
      <c r="M249" s="4">
        <v>52.7</v>
      </c>
      <c r="N249" t="s">
        <v>20</v>
      </c>
      <c r="O249">
        <f>Patient_data[[#This Row],[Appointment_Date]]-Patient_data[[#This Row],[Booking_Date]]</f>
        <v>126</v>
      </c>
    </row>
    <row r="250" spans="1:15" x14ac:dyDescent="0.25">
      <c r="A250">
        <v>1100</v>
      </c>
      <c r="B250">
        <v>69</v>
      </c>
      <c r="C250" t="s">
        <v>378</v>
      </c>
      <c r="D250" t="s">
        <v>521</v>
      </c>
      <c r="E250" t="s">
        <v>28</v>
      </c>
      <c r="F250" s="3">
        <v>45938</v>
      </c>
      <c r="G250" s="1">
        <f>YEAR(Patient_data[[#This Row],[Appointment_Date]])</f>
        <v>2025</v>
      </c>
      <c r="H250" s="2" t="str">
        <f>TEXT(Patient_data[[#This Row],[Appointment_Date]],"mmmm")</f>
        <v>October</v>
      </c>
      <c r="I250" s="3" t="str">
        <f>TEXT(Patient_data[[#This Row],[Appointment_Date]],"mmm-yyyy")</f>
        <v>Oct-2025</v>
      </c>
      <c r="J250" s="3">
        <v>45796</v>
      </c>
      <c r="K250" t="s">
        <v>522</v>
      </c>
      <c r="L250" t="s">
        <v>19</v>
      </c>
      <c r="M250" s="4">
        <v>39.46</v>
      </c>
      <c r="N250" t="s">
        <v>20</v>
      </c>
      <c r="O250">
        <f>Patient_data[[#This Row],[Appointment_Date]]-Patient_data[[#This Row],[Booking_Date]]</f>
        <v>142</v>
      </c>
    </row>
    <row r="251" spans="1:15" x14ac:dyDescent="0.25">
      <c r="A251">
        <v>1020</v>
      </c>
      <c r="B251">
        <v>69</v>
      </c>
      <c r="C251" t="s">
        <v>378</v>
      </c>
      <c r="D251" t="s">
        <v>523</v>
      </c>
      <c r="E251" t="s">
        <v>28</v>
      </c>
      <c r="F251" s="3">
        <v>45904</v>
      </c>
      <c r="G251" s="1">
        <f>YEAR(Patient_data[[#This Row],[Appointment_Date]])</f>
        <v>2025</v>
      </c>
      <c r="H251" s="2" t="str">
        <f>TEXT(Patient_data[[#This Row],[Appointment_Date]],"mmmm")</f>
        <v>September</v>
      </c>
      <c r="I251" s="3" t="str">
        <f>TEXT(Patient_data[[#This Row],[Appointment_Date]],"mmm-yyyy")</f>
        <v>Sep-2025</v>
      </c>
      <c r="J251" s="3">
        <v>45704</v>
      </c>
      <c r="K251" t="s">
        <v>524</v>
      </c>
      <c r="L251" t="s">
        <v>23</v>
      </c>
      <c r="M251" s="4">
        <v>26.58</v>
      </c>
      <c r="N251" t="s">
        <v>20</v>
      </c>
      <c r="O251">
        <f>Patient_data[[#This Row],[Appointment_Date]]-Patient_data[[#This Row],[Booking_Date]]</f>
        <v>200</v>
      </c>
    </row>
    <row r="252" spans="1:15" x14ac:dyDescent="0.25">
      <c r="A252">
        <v>1085</v>
      </c>
      <c r="B252">
        <v>69</v>
      </c>
      <c r="C252" t="s">
        <v>378</v>
      </c>
      <c r="D252" t="s">
        <v>525</v>
      </c>
      <c r="E252" t="s">
        <v>28</v>
      </c>
      <c r="F252" s="3">
        <v>46097</v>
      </c>
      <c r="G252" s="1">
        <f>YEAR(Patient_data[[#This Row],[Appointment_Date]])</f>
        <v>2026</v>
      </c>
      <c r="H252" s="2" t="str">
        <f>TEXT(Patient_data[[#This Row],[Appointment_Date]],"mmmm")</f>
        <v>March</v>
      </c>
      <c r="I252" s="3" t="str">
        <f>TEXT(Patient_data[[#This Row],[Appointment_Date]],"mmm-yyyy")</f>
        <v>Mar-2026</v>
      </c>
      <c r="J252" s="3">
        <v>45462</v>
      </c>
      <c r="K252" t="s">
        <v>526</v>
      </c>
      <c r="L252" t="s">
        <v>23</v>
      </c>
      <c r="M252" s="4">
        <v>12.82</v>
      </c>
      <c r="N252" t="s">
        <v>20</v>
      </c>
      <c r="O252">
        <f>Patient_data[[#This Row],[Appointment_Date]]-Patient_data[[#This Row],[Booking_Date]]</f>
        <v>635</v>
      </c>
    </row>
    <row r="253" spans="1:15" x14ac:dyDescent="0.25">
      <c r="A253">
        <v>1005</v>
      </c>
      <c r="B253">
        <v>69</v>
      </c>
      <c r="C253" t="s">
        <v>378</v>
      </c>
      <c r="D253" t="s">
        <v>527</v>
      </c>
      <c r="E253" t="s">
        <v>17</v>
      </c>
      <c r="F253" s="3">
        <v>45936</v>
      </c>
      <c r="G253" s="1">
        <f>YEAR(Patient_data[[#This Row],[Appointment_Date]])</f>
        <v>2025</v>
      </c>
      <c r="H253" s="2" t="str">
        <f>TEXT(Patient_data[[#This Row],[Appointment_Date]],"mmmm")</f>
        <v>October</v>
      </c>
      <c r="I253" s="3" t="str">
        <f>TEXT(Patient_data[[#This Row],[Appointment_Date]],"mmm-yyyy")</f>
        <v>Oct-2025</v>
      </c>
      <c r="J253" s="3">
        <v>45625</v>
      </c>
      <c r="K253" t="s">
        <v>528</v>
      </c>
      <c r="L253" t="s">
        <v>19</v>
      </c>
      <c r="M253" s="4">
        <v>83.47</v>
      </c>
      <c r="N253" t="s">
        <v>24</v>
      </c>
      <c r="O253">
        <f>Patient_data[[#This Row],[Appointment_Date]]-Patient_data[[#This Row],[Booking_Date]]</f>
        <v>311</v>
      </c>
    </row>
    <row r="254" spans="1:15" x14ac:dyDescent="0.25">
      <c r="A254">
        <v>1084</v>
      </c>
      <c r="B254">
        <v>69</v>
      </c>
      <c r="C254" t="s">
        <v>378</v>
      </c>
      <c r="D254" t="s">
        <v>529</v>
      </c>
      <c r="E254" t="s">
        <v>17</v>
      </c>
      <c r="F254" s="3">
        <v>45743</v>
      </c>
      <c r="G254" s="1">
        <f>YEAR(Patient_data[[#This Row],[Appointment_Date]])</f>
        <v>2025</v>
      </c>
      <c r="H254" s="2" t="str">
        <f>TEXT(Patient_data[[#This Row],[Appointment_Date]],"mmmm")</f>
        <v>March</v>
      </c>
      <c r="I254" s="3" t="str">
        <f>TEXT(Patient_data[[#This Row],[Appointment_Date]],"mmm-yyyy")</f>
        <v>Mar-2025</v>
      </c>
      <c r="J254" s="3">
        <v>45508</v>
      </c>
      <c r="K254" t="s">
        <v>530</v>
      </c>
      <c r="L254" t="s">
        <v>23</v>
      </c>
      <c r="M254" s="4">
        <v>63.58</v>
      </c>
      <c r="N254" t="s">
        <v>20</v>
      </c>
      <c r="O254">
        <f>Patient_data[[#This Row],[Appointment_Date]]-Patient_data[[#This Row],[Booking_Date]]</f>
        <v>235</v>
      </c>
    </row>
    <row r="255" spans="1:15" x14ac:dyDescent="0.25">
      <c r="A255">
        <v>1030</v>
      </c>
      <c r="B255">
        <v>69</v>
      </c>
      <c r="C255" t="s">
        <v>378</v>
      </c>
      <c r="D255" t="s">
        <v>531</v>
      </c>
      <c r="E255" t="s">
        <v>17</v>
      </c>
      <c r="F255" s="3">
        <v>46024</v>
      </c>
      <c r="G255" s="1">
        <f>YEAR(Patient_data[[#This Row],[Appointment_Date]])</f>
        <v>2026</v>
      </c>
      <c r="H255" s="2" t="str">
        <f>TEXT(Patient_data[[#This Row],[Appointment_Date]],"mmmm")</f>
        <v>January</v>
      </c>
      <c r="I255" s="3" t="str">
        <f>TEXT(Patient_data[[#This Row],[Appointment_Date]],"mmm-yyyy")</f>
        <v>Jan-2026</v>
      </c>
      <c r="J255" s="3">
        <v>45558</v>
      </c>
      <c r="K255" t="s">
        <v>532</v>
      </c>
      <c r="L255" t="s">
        <v>19</v>
      </c>
      <c r="M255" s="4">
        <v>224.83</v>
      </c>
      <c r="N255" t="s">
        <v>24</v>
      </c>
      <c r="O255">
        <f>Patient_data[[#This Row],[Appointment_Date]]-Patient_data[[#This Row],[Booking_Date]]</f>
        <v>466</v>
      </c>
    </row>
    <row r="256" spans="1:15" x14ac:dyDescent="0.25">
      <c r="A256">
        <v>1087</v>
      </c>
      <c r="B256">
        <v>69</v>
      </c>
      <c r="C256" t="s">
        <v>378</v>
      </c>
      <c r="D256" t="s">
        <v>533</v>
      </c>
      <c r="E256" t="s">
        <v>28</v>
      </c>
      <c r="F256" s="3">
        <v>45932</v>
      </c>
      <c r="G256" s="1">
        <f>YEAR(Patient_data[[#This Row],[Appointment_Date]])</f>
        <v>2025</v>
      </c>
      <c r="H256" s="2" t="str">
        <f>TEXT(Patient_data[[#This Row],[Appointment_Date]],"mmmm")</f>
        <v>October</v>
      </c>
      <c r="I256" s="3" t="str">
        <f>TEXT(Patient_data[[#This Row],[Appointment_Date]],"mmm-yyyy")</f>
        <v>Oct-2025</v>
      </c>
      <c r="J256" s="3">
        <v>45711</v>
      </c>
      <c r="K256" t="s">
        <v>534</v>
      </c>
      <c r="L256" t="s">
        <v>30</v>
      </c>
      <c r="M256" s="4">
        <v>64.959999999999994</v>
      </c>
      <c r="N256" t="s">
        <v>24</v>
      </c>
      <c r="O256">
        <f>Patient_data[[#This Row],[Appointment_Date]]-Patient_data[[#This Row],[Booking_Date]]</f>
        <v>221</v>
      </c>
    </row>
    <row r="257" spans="1:15" x14ac:dyDescent="0.25">
      <c r="A257">
        <v>1025</v>
      </c>
      <c r="B257">
        <v>69</v>
      </c>
      <c r="C257" t="s">
        <v>378</v>
      </c>
      <c r="D257" t="s">
        <v>535</v>
      </c>
      <c r="E257" t="s">
        <v>17</v>
      </c>
      <c r="F257" s="3">
        <v>45753</v>
      </c>
      <c r="G257" s="1">
        <f>YEAR(Patient_data[[#This Row],[Appointment_Date]])</f>
        <v>2025</v>
      </c>
      <c r="H257" s="2" t="str">
        <f>TEXT(Patient_data[[#This Row],[Appointment_Date]],"mmmm")</f>
        <v>April</v>
      </c>
      <c r="I257" s="3" t="str">
        <f>TEXT(Patient_data[[#This Row],[Appointment_Date]],"mmm-yyyy")</f>
        <v>Apr-2025</v>
      </c>
      <c r="J257" s="3">
        <v>45501</v>
      </c>
      <c r="K257" t="s">
        <v>536</v>
      </c>
      <c r="L257" t="s">
        <v>43</v>
      </c>
      <c r="M257" s="4">
        <v>75.33</v>
      </c>
      <c r="N257" t="s">
        <v>20</v>
      </c>
      <c r="O257">
        <f>Patient_data[[#This Row],[Appointment_Date]]-Patient_data[[#This Row],[Booking_Date]]</f>
        <v>252</v>
      </c>
    </row>
    <row r="258" spans="1:15" x14ac:dyDescent="0.25">
      <c r="A258">
        <v>1029</v>
      </c>
      <c r="B258">
        <v>69</v>
      </c>
      <c r="C258" t="s">
        <v>378</v>
      </c>
      <c r="D258" t="s">
        <v>537</v>
      </c>
      <c r="E258" t="s">
        <v>17</v>
      </c>
      <c r="F258" s="3">
        <v>45804</v>
      </c>
      <c r="G258" s="1">
        <f>YEAR(Patient_data[[#This Row],[Appointment_Date]])</f>
        <v>2025</v>
      </c>
      <c r="H258" s="2" t="str">
        <f>TEXT(Patient_data[[#This Row],[Appointment_Date]],"mmmm")</f>
        <v>May</v>
      </c>
      <c r="I258" s="3" t="str">
        <f>TEXT(Patient_data[[#This Row],[Appointment_Date]],"mmm-yyyy")</f>
        <v>May-2025</v>
      </c>
      <c r="J258" s="3">
        <v>45767</v>
      </c>
      <c r="K258" t="s">
        <v>538</v>
      </c>
      <c r="L258" t="s">
        <v>43</v>
      </c>
      <c r="M258" s="4">
        <v>3.14</v>
      </c>
      <c r="N258" t="s">
        <v>20</v>
      </c>
      <c r="O258">
        <f>Patient_data[[#This Row],[Appointment_Date]]-Patient_data[[#This Row],[Booking_Date]]</f>
        <v>37</v>
      </c>
    </row>
    <row r="259" spans="1:15" x14ac:dyDescent="0.25">
      <c r="A259">
        <v>1013</v>
      </c>
      <c r="B259">
        <v>69</v>
      </c>
      <c r="C259" t="s">
        <v>378</v>
      </c>
      <c r="D259" t="s">
        <v>539</v>
      </c>
      <c r="E259" t="s">
        <v>17</v>
      </c>
      <c r="F259" s="3">
        <v>46043</v>
      </c>
      <c r="G259" s="1">
        <f>YEAR(Patient_data[[#This Row],[Appointment_Date]])</f>
        <v>2026</v>
      </c>
      <c r="H259" s="2" t="str">
        <f>TEXT(Patient_data[[#This Row],[Appointment_Date]],"mmmm")</f>
        <v>January</v>
      </c>
      <c r="I259" s="3" t="str">
        <f>TEXT(Patient_data[[#This Row],[Appointment_Date]],"mmm-yyyy")</f>
        <v>Jan-2026</v>
      </c>
      <c r="J259" s="3">
        <v>45444</v>
      </c>
      <c r="K259" t="s">
        <v>540</v>
      </c>
      <c r="L259" t="s">
        <v>23</v>
      </c>
      <c r="M259" s="4">
        <v>289.74</v>
      </c>
      <c r="N259" t="s">
        <v>24</v>
      </c>
      <c r="O259">
        <f>Patient_data[[#This Row],[Appointment_Date]]-Patient_data[[#This Row],[Booking_Date]]</f>
        <v>599</v>
      </c>
    </row>
    <row r="260" spans="1:15" x14ac:dyDescent="0.25">
      <c r="A260">
        <v>1039</v>
      </c>
      <c r="B260">
        <v>69</v>
      </c>
      <c r="C260" t="s">
        <v>378</v>
      </c>
      <c r="D260" t="s">
        <v>541</v>
      </c>
      <c r="E260" t="s">
        <v>28</v>
      </c>
      <c r="F260" s="3">
        <v>46057</v>
      </c>
      <c r="G260" s="1">
        <f>YEAR(Patient_data[[#This Row],[Appointment_Date]])</f>
        <v>2026</v>
      </c>
      <c r="H260" s="2" t="str">
        <f>TEXT(Patient_data[[#This Row],[Appointment_Date]],"mmmm")</f>
        <v>February</v>
      </c>
      <c r="I260" s="3" t="str">
        <f>TEXT(Patient_data[[#This Row],[Appointment_Date]],"mmm-yyyy")</f>
        <v>Feb-2026</v>
      </c>
      <c r="J260" s="3">
        <v>45582</v>
      </c>
      <c r="K260" t="s">
        <v>542</v>
      </c>
      <c r="L260" t="s">
        <v>30</v>
      </c>
      <c r="M260" s="4">
        <v>61.56</v>
      </c>
      <c r="N260" t="s">
        <v>24</v>
      </c>
      <c r="O260">
        <f>Patient_data[[#This Row],[Appointment_Date]]-Patient_data[[#This Row],[Booking_Date]]</f>
        <v>475</v>
      </c>
    </row>
    <row r="261" spans="1:15" x14ac:dyDescent="0.25">
      <c r="A261">
        <v>1055</v>
      </c>
      <c r="B261">
        <v>69</v>
      </c>
      <c r="C261" t="s">
        <v>378</v>
      </c>
      <c r="D261" t="s">
        <v>543</v>
      </c>
      <c r="E261" t="s">
        <v>17</v>
      </c>
      <c r="F261" s="3">
        <v>45747</v>
      </c>
      <c r="G261" s="1">
        <f>YEAR(Patient_data[[#This Row],[Appointment_Date]])</f>
        <v>2025</v>
      </c>
      <c r="H261" s="2" t="str">
        <f>TEXT(Patient_data[[#This Row],[Appointment_Date]],"mmmm")</f>
        <v>March</v>
      </c>
      <c r="I261" s="3" t="str">
        <f>TEXT(Patient_data[[#This Row],[Appointment_Date]],"mmm-yyyy")</f>
        <v>Mar-2025</v>
      </c>
      <c r="J261" s="3">
        <v>45601</v>
      </c>
      <c r="K261" t="s">
        <v>544</v>
      </c>
      <c r="L261" t="s">
        <v>43</v>
      </c>
      <c r="M261" s="4">
        <v>479.37</v>
      </c>
      <c r="N261" t="s">
        <v>24</v>
      </c>
      <c r="O261">
        <f>Patient_data[[#This Row],[Appointment_Date]]-Patient_data[[#This Row],[Booking_Date]]</f>
        <v>146</v>
      </c>
    </row>
    <row r="262" spans="1:15" x14ac:dyDescent="0.25">
      <c r="A262">
        <v>1089</v>
      </c>
      <c r="B262">
        <v>69</v>
      </c>
      <c r="C262" t="s">
        <v>378</v>
      </c>
      <c r="D262" t="s">
        <v>545</v>
      </c>
      <c r="E262" t="s">
        <v>17</v>
      </c>
      <c r="F262" s="3">
        <v>45934</v>
      </c>
      <c r="G262" s="1">
        <f>YEAR(Patient_data[[#This Row],[Appointment_Date]])</f>
        <v>2025</v>
      </c>
      <c r="H262" s="2" t="str">
        <f>TEXT(Patient_data[[#This Row],[Appointment_Date]],"mmmm")</f>
        <v>October</v>
      </c>
      <c r="I262" s="3" t="str">
        <f>TEXT(Patient_data[[#This Row],[Appointment_Date]],"mmm-yyyy")</f>
        <v>Oct-2025</v>
      </c>
      <c r="J262" s="3">
        <v>45869</v>
      </c>
      <c r="K262" t="s">
        <v>546</v>
      </c>
      <c r="L262" t="s">
        <v>23</v>
      </c>
      <c r="M262" s="4">
        <v>77.98</v>
      </c>
      <c r="N262" t="s">
        <v>24</v>
      </c>
      <c r="O262">
        <f>Patient_data[[#This Row],[Appointment_Date]]-Patient_data[[#This Row],[Booking_Date]]</f>
        <v>65</v>
      </c>
    </row>
    <row r="263" spans="1:15" x14ac:dyDescent="0.25">
      <c r="A263">
        <v>1082</v>
      </c>
      <c r="B263">
        <v>69</v>
      </c>
      <c r="C263" t="s">
        <v>378</v>
      </c>
      <c r="D263" t="s">
        <v>547</v>
      </c>
      <c r="E263" t="s">
        <v>28</v>
      </c>
      <c r="F263" s="3">
        <v>45802</v>
      </c>
      <c r="G263" s="1">
        <f>YEAR(Patient_data[[#This Row],[Appointment_Date]])</f>
        <v>2025</v>
      </c>
      <c r="H263" s="2" t="str">
        <f>TEXT(Patient_data[[#This Row],[Appointment_Date]],"mmmm")</f>
        <v>May</v>
      </c>
      <c r="I263" s="3" t="str">
        <f>TEXT(Patient_data[[#This Row],[Appointment_Date]],"mmm-yyyy")</f>
        <v>May-2025</v>
      </c>
      <c r="J263" s="3">
        <v>45458</v>
      </c>
      <c r="K263" t="s">
        <v>548</v>
      </c>
      <c r="L263" t="s">
        <v>30</v>
      </c>
      <c r="M263" s="4">
        <v>4.37</v>
      </c>
      <c r="N263" t="s">
        <v>24</v>
      </c>
      <c r="O263">
        <f>Patient_data[[#This Row],[Appointment_Date]]-Patient_data[[#This Row],[Booking_Date]]</f>
        <v>344</v>
      </c>
    </row>
    <row r="264" spans="1:15" x14ac:dyDescent="0.25">
      <c r="A264">
        <v>1041</v>
      </c>
      <c r="B264">
        <v>68</v>
      </c>
      <c r="C264" t="s">
        <v>378</v>
      </c>
      <c r="D264" t="s">
        <v>549</v>
      </c>
      <c r="E264" t="s">
        <v>28</v>
      </c>
      <c r="F264" s="3">
        <v>46088</v>
      </c>
      <c r="G264" s="1">
        <f>YEAR(Patient_data[[#This Row],[Appointment_Date]])</f>
        <v>2026</v>
      </c>
      <c r="H264" s="2" t="str">
        <f>TEXT(Patient_data[[#This Row],[Appointment_Date]],"mmmm")</f>
        <v>March</v>
      </c>
      <c r="I264" s="3" t="str">
        <f>TEXT(Patient_data[[#This Row],[Appointment_Date]],"mmm-yyyy")</f>
        <v>Mar-2026</v>
      </c>
      <c r="J264" s="3">
        <v>45406</v>
      </c>
      <c r="K264" t="s">
        <v>550</v>
      </c>
      <c r="L264" t="s">
        <v>23</v>
      </c>
      <c r="M264" s="4">
        <v>2.88</v>
      </c>
      <c r="N264" t="s">
        <v>24</v>
      </c>
      <c r="O264">
        <f>Patient_data[[#This Row],[Appointment_Date]]-Patient_data[[#This Row],[Booking_Date]]</f>
        <v>682</v>
      </c>
    </row>
    <row r="265" spans="1:15" x14ac:dyDescent="0.25">
      <c r="A265">
        <v>1034</v>
      </c>
      <c r="B265">
        <v>68</v>
      </c>
      <c r="C265" t="s">
        <v>378</v>
      </c>
      <c r="D265" t="s">
        <v>551</v>
      </c>
      <c r="E265" t="s">
        <v>17</v>
      </c>
      <c r="F265" s="3">
        <v>45843</v>
      </c>
      <c r="G265" s="1">
        <f>YEAR(Patient_data[[#This Row],[Appointment_Date]])</f>
        <v>2025</v>
      </c>
      <c r="H265" s="2" t="str">
        <f>TEXT(Patient_data[[#This Row],[Appointment_Date]],"mmmm")</f>
        <v>July</v>
      </c>
      <c r="I265" s="3" t="str">
        <f>TEXT(Patient_data[[#This Row],[Appointment_Date]],"mmm-yyyy")</f>
        <v>Jul-2025</v>
      </c>
      <c r="J265" s="3">
        <v>45680</v>
      </c>
      <c r="K265" t="s">
        <v>552</v>
      </c>
      <c r="L265" t="s">
        <v>19</v>
      </c>
      <c r="M265" s="4">
        <v>53.06</v>
      </c>
      <c r="N265" t="s">
        <v>20</v>
      </c>
      <c r="O265">
        <f>Patient_data[[#This Row],[Appointment_Date]]-Patient_data[[#This Row],[Booking_Date]]</f>
        <v>163</v>
      </c>
    </row>
    <row r="266" spans="1:15" x14ac:dyDescent="0.25">
      <c r="A266">
        <v>1015</v>
      </c>
      <c r="B266">
        <v>68</v>
      </c>
      <c r="C266" t="s">
        <v>378</v>
      </c>
      <c r="D266" t="s">
        <v>553</v>
      </c>
      <c r="E266" t="s">
        <v>28</v>
      </c>
      <c r="F266" s="3">
        <v>45998</v>
      </c>
      <c r="G266" s="1">
        <f>YEAR(Patient_data[[#This Row],[Appointment_Date]])</f>
        <v>2025</v>
      </c>
      <c r="H266" s="2" t="str">
        <f>TEXT(Patient_data[[#This Row],[Appointment_Date]],"mmmm")</f>
        <v>December</v>
      </c>
      <c r="I266" s="3" t="str">
        <f>TEXT(Patient_data[[#This Row],[Appointment_Date]],"mmm-yyyy")</f>
        <v>Dec-2025</v>
      </c>
      <c r="J266" s="3">
        <v>45740</v>
      </c>
      <c r="K266" t="s">
        <v>554</v>
      </c>
      <c r="L266" t="s">
        <v>43</v>
      </c>
      <c r="M266" s="4">
        <v>59.78</v>
      </c>
      <c r="N266" t="s">
        <v>24</v>
      </c>
      <c r="O266">
        <f>Patient_data[[#This Row],[Appointment_Date]]-Patient_data[[#This Row],[Booking_Date]]</f>
        <v>258</v>
      </c>
    </row>
    <row r="267" spans="1:15" x14ac:dyDescent="0.25">
      <c r="A267">
        <v>1033</v>
      </c>
      <c r="B267">
        <v>68</v>
      </c>
      <c r="C267" t="s">
        <v>378</v>
      </c>
      <c r="D267" t="s">
        <v>555</v>
      </c>
      <c r="E267" t="s">
        <v>17</v>
      </c>
      <c r="F267" s="3">
        <v>45958</v>
      </c>
      <c r="G267" s="1">
        <f>YEAR(Patient_data[[#This Row],[Appointment_Date]])</f>
        <v>2025</v>
      </c>
      <c r="H267" s="2" t="str">
        <f>TEXT(Patient_data[[#This Row],[Appointment_Date]],"mmmm")</f>
        <v>October</v>
      </c>
      <c r="I267" s="3" t="str">
        <f>TEXT(Patient_data[[#This Row],[Appointment_Date]],"mmm-yyyy")</f>
        <v>Oct-2025</v>
      </c>
      <c r="J267" s="3">
        <v>45581</v>
      </c>
      <c r="K267" t="s">
        <v>552</v>
      </c>
      <c r="L267" t="s">
        <v>23</v>
      </c>
      <c r="M267" s="4">
        <v>68.06</v>
      </c>
      <c r="N267" t="s">
        <v>24</v>
      </c>
      <c r="O267">
        <f>Patient_data[[#This Row],[Appointment_Date]]-Patient_data[[#This Row],[Booking_Date]]</f>
        <v>377</v>
      </c>
    </row>
    <row r="268" spans="1:15" x14ac:dyDescent="0.25">
      <c r="A268">
        <v>1054</v>
      </c>
      <c r="B268">
        <v>68</v>
      </c>
      <c r="C268" t="s">
        <v>378</v>
      </c>
      <c r="D268" t="s">
        <v>556</v>
      </c>
      <c r="E268" t="s">
        <v>17</v>
      </c>
      <c r="F268" s="3">
        <v>45761</v>
      </c>
      <c r="G268" s="1">
        <f>YEAR(Patient_data[[#This Row],[Appointment_Date]])</f>
        <v>2025</v>
      </c>
      <c r="H268" s="2" t="str">
        <f>TEXT(Patient_data[[#This Row],[Appointment_Date]],"mmmm")</f>
        <v>April</v>
      </c>
      <c r="I268" s="3" t="str">
        <f>TEXT(Patient_data[[#This Row],[Appointment_Date]],"mmm-yyyy")</f>
        <v>Apr-2025</v>
      </c>
      <c r="J268" s="3">
        <v>45701</v>
      </c>
      <c r="K268" t="s">
        <v>557</v>
      </c>
      <c r="L268" t="s">
        <v>23</v>
      </c>
      <c r="M268" s="4">
        <v>99.55</v>
      </c>
      <c r="N268" t="s">
        <v>20</v>
      </c>
      <c r="O268">
        <f>Patient_data[[#This Row],[Appointment_Date]]-Patient_data[[#This Row],[Booking_Date]]</f>
        <v>60</v>
      </c>
    </row>
    <row r="269" spans="1:15" x14ac:dyDescent="0.25">
      <c r="A269">
        <v>1070</v>
      </c>
      <c r="B269">
        <v>68</v>
      </c>
      <c r="C269" t="s">
        <v>378</v>
      </c>
      <c r="D269" t="s">
        <v>558</v>
      </c>
      <c r="E269" t="s">
        <v>28</v>
      </c>
      <c r="F269" s="3">
        <v>45807</v>
      </c>
      <c r="G269" s="1">
        <f>YEAR(Patient_data[[#This Row],[Appointment_Date]])</f>
        <v>2025</v>
      </c>
      <c r="H269" s="2" t="str">
        <f>TEXT(Patient_data[[#This Row],[Appointment_Date]],"mmmm")</f>
        <v>May</v>
      </c>
      <c r="I269" s="3" t="str">
        <f>TEXT(Patient_data[[#This Row],[Appointment_Date]],"mmm-yyyy")</f>
        <v>May-2025</v>
      </c>
      <c r="J269" s="3">
        <v>45426</v>
      </c>
      <c r="K269" t="s">
        <v>559</v>
      </c>
      <c r="L269" t="s">
        <v>23</v>
      </c>
      <c r="M269" s="4">
        <v>390.97</v>
      </c>
      <c r="N269" t="s">
        <v>24</v>
      </c>
      <c r="O269">
        <f>Patient_data[[#This Row],[Appointment_Date]]-Patient_data[[#This Row],[Booking_Date]]</f>
        <v>381</v>
      </c>
    </row>
    <row r="270" spans="1:15" x14ac:dyDescent="0.25">
      <c r="A270">
        <v>1018</v>
      </c>
      <c r="B270">
        <v>68</v>
      </c>
      <c r="C270" t="s">
        <v>378</v>
      </c>
      <c r="D270" t="s">
        <v>560</v>
      </c>
      <c r="E270" t="s">
        <v>28</v>
      </c>
      <c r="F270" s="3">
        <v>45833</v>
      </c>
      <c r="G270" s="1">
        <f>YEAR(Patient_data[[#This Row],[Appointment_Date]])</f>
        <v>2025</v>
      </c>
      <c r="H270" s="2" t="str">
        <f>TEXT(Patient_data[[#This Row],[Appointment_Date]],"mmmm")</f>
        <v>June</v>
      </c>
      <c r="I270" s="3" t="str">
        <f>TEXT(Patient_data[[#This Row],[Appointment_Date]],"mmm-yyyy")</f>
        <v>Jun-2025</v>
      </c>
      <c r="J270" s="3">
        <v>45813</v>
      </c>
      <c r="K270" t="s">
        <v>561</v>
      </c>
      <c r="L270" t="s">
        <v>30</v>
      </c>
      <c r="M270" s="4">
        <v>13.67</v>
      </c>
      <c r="N270" t="s">
        <v>24</v>
      </c>
      <c r="O270">
        <f>Patient_data[[#This Row],[Appointment_Date]]-Patient_data[[#This Row],[Booking_Date]]</f>
        <v>20</v>
      </c>
    </row>
    <row r="271" spans="1:15" x14ac:dyDescent="0.25">
      <c r="A271">
        <v>1010</v>
      </c>
      <c r="B271">
        <v>68</v>
      </c>
      <c r="C271" t="s">
        <v>378</v>
      </c>
      <c r="D271" t="s">
        <v>562</v>
      </c>
      <c r="E271" t="s">
        <v>28</v>
      </c>
      <c r="F271" s="3">
        <v>45842</v>
      </c>
      <c r="G271" s="1">
        <f>YEAR(Patient_data[[#This Row],[Appointment_Date]])</f>
        <v>2025</v>
      </c>
      <c r="H271" s="2" t="str">
        <f>TEXT(Patient_data[[#This Row],[Appointment_Date]],"mmmm")</f>
        <v>July</v>
      </c>
      <c r="I271" s="3" t="str">
        <f>TEXT(Patient_data[[#This Row],[Appointment_Date]],"mmm-yyyy")</f>
        <v>Jul-2025</v>
      </c>
      <c r="J271" s="3">
        <v>45596</v>
      </c>
      <c r="K271" t="s">
        <v>563</v>
      </c>
      <c r="L271" t="s">
        <v>23</v>
      </c>
      <c r="M271" s="4">
        <v>0.6</v>
      </c>
      <c r="N271" t="s">
        <v>24</v>
      </c>
      <c r="O271">
        <f>Patient_data[[#This Row],[Appointment_Date]]-Patient_data[[#This Row],[Booking_Date]]</f>
        <v>246</v>
      </c>
    </row>
    <row r="272" spans="1:15" x14ac:dyDescent="0.25">
      <c r="A272">
        <v>1072</v>
      </c>
      <c r="B272">
        <v>68</v>
      </c>
      <c r="C272" t="s">
        <v>378</v>
      </c>
      <c r="D272" t="s">
        <v>564</v>
      </c>
      <c r="E272" t="s">
        <v>28</v>
      </c>
      <c r="F272" s="3">
        <v>46032</v>
      </c>
      <c r="G272" s="1">
        <f>YEAR(Patient_data[[#This Row],[Appointment_Date]])</f>
        <v>2026</v>
      </c>
      <c r="H272" s="2" t="str">
        <f>TEXT(Patient_data[[#This Row],[Appointment_Date]],"mmmm")</f>
        <v>January</v>
      </c>
      <c r="I272" s="3" t="str">
        <f>TEXT(Patient_data[[#This Row],[Appointment_Date]],"mmm-yyyy")</f>
        <v>Jan-2026</v>
      </c>
      <c r="J272" s="3">
        <v>45911</v>
      </c>
      <c r="K272" t="s">
        <v>565</v>
      </c>
      <c r="L272" t="s">
        <v>30</v>
      </c>
      <c r="M272" s="4">
        <v>90.52</v>
      </c>
      <c r="N272" t="s">
        <v>20</v>
      </c>
      <c r="O272">
        <f>Patient_data[[#This Row],[Appointment_Date]]-Patient_data[[#This Row],[Booking_Date]]</f>
        <v>121</v>
      </c>
    </row>
    <row r="273" spans="1:15" x14ac:dyDescent="0.25">
      <c r="A273">
        <v>1044</v>
      </c>
      <c r="B273">
        <v>68</v>
      </c>
      <c r="C273" t="s">
        <v>378</v>
      </c>
      <c r="D273" t="s">
        <v>566</v>
      </c>
      <c r="E273" t="s">
        <v>17</v>
      </c>
      <c r="F273" s="3">
        <v>45888</v>
      </c>
      <c r="G273" s="1">
        <f>YEAR(Patient_data[[#This Row],[Appointment_Date]])</f>
        <v>2025</v>
      </c>
      <c r="H273" s="2" t="str">
        <f>TEXT(Patient_data[[#This Row],[Appointment_Date]],"mmmm")</f>
        <v>August</v>
      </c>
      <c r="I273" s="3" t="str">
        <f>TEXT(Patient_data[[#This Row],[Appointment_Date]],"mmm-yyyy")</f>
        <v>Aug-2025</v>
      </c>
      <c r="J273" s="3">
        <v>45688</v>
      </c>
      <c r="K273" t="s">
        <v>567</v>
      </c>
      <c r="L273" t="s">
        <v>43</v>
      </c>
      <c r="M273" s="4">
        <v>2.4</v>
      </c>
      <c r="N273" t="s">
        <v>24</v>
      </c>
      <c r="O273">
        <f>Patient_data[[#This Row],[Appointment_Date]]-Patient_data[[#This Row],[Booking_Date]]</f>
        <v>200</v>
      </c>
    </row>
    <row r="274" spans="1:15" x14ac:dyDescent="0.25">
      <c r="A274">
        <v>1039</v>
      </c>
      <c r="B274">
        <v>68</v>
      </c>
      <c r="C274" t="s">
        <v>378</v>
      </c>
      <c r="D274" t="s">
        <v>568</v>
      </c>
      <c r="E274" t="s">
        <v>17</v>
      </c>
      <c r="F274" s="3">
        <v>45779</v>
      </c>
      <c r="G274" s="1">
        <f>YEAR(Patient_data[[#This Row],[Appointment_Date]])</f>
        <v>2025</v>
      </c>
      <c r="H274" s="2" t="str">
        <f>TEXT(Patient_data[[#This Row],[Appointment_Date]],"mmmm")</f>
        <v>May</v>
      </c>
      <c r="I274" s="3" t="str">
        <f>TEXT(Patient_data[[#This Row],[Appointment_Date]],"mmm-yyyy")</f>
        <v>May-2025</v>
      </c>
      <c r="J274" s="3">
        <v>45703</v>
      </c>
      <c r="K274" t="s">
        <v>569</v>
      </c>
      <c r="L274" t="s">
        <v>43</v>
      </c>
      <c r="M274" s="4">
        <v>39.57</v>
      </c>
      <c r="N274" t="s">
        <v>20</v>
      </c>
      <c r="O274">
        <f>Patient_data[[#This Row],[Appointment_Date]]-Patient_data[[#This Row],[Booking_Date]]</f>
        <v>76</v>
      </c>
    </row>
    <row r="275" spans="1:15" x14ac:dyDescent="0.25">
      <c r="A275">
        <v>1089</v>
      </c>
      <c r="B275">
        <v>68</v>
      </c>
      <c r="C275" t="s">
        <v>378</v>
      </c>
      <c r="D275" t="s">
        <v>570</v>
      </c>
      <c r="E275" t="s">
        <v>28</v>
      </c>
      <c r="F275" s="3">
        <v>45750</v>
      </c>
      <c r="G275" s="1">
        <f>YEAR(Patient_data[[#This Row],[Appointment_Date]])</f>
        <v>2025</v>
      </c>
      <c r="H275" s="2" t="str">
        <f>TEXT(Patient_data[[#This Row],[Appointment_Date]],"mmmm")</f>
        <v>April</v>
      </c>
      <c r="I275" s="3" t="str">
        <f>TEXT(Patient_data[[#This Row],[Appointment_Date]],"mmm-yyyy")</f>
        <v>Apr-2025</v>
      </c>
      <c r="J275" s="3">
        <v>45510</v>
      </c>
      <c r="K275" t="s">
        <v>571</v>
      </c>
      <c r="L275" t="s">
        <v>43</v>
      </c>
      <c r="M275" s="4">
        <v>45.84</v>
      </c>
      <c r="N275" t="s">
        <v>20</v>
      </c>
      <c r="O275">
        <f>Patient_data[[#This Row],[Appointment_Date]]-Patient_data[[#This Row],[Booking_Date]]</f>
        <v>240</v>
      </c>
    </row>
    <row r="276" spans="1:15" x14ac:dyDescent="0.25">
      <c r="A276">
        <v>1018</v>
      </c>
      <c r="B276">
        <v>68</v>
      </c>
      <c r="C276" t="s">
        <v>378</v>
      </c>
      <c r="D276" t="s">
        <v>572</v>
      </c>
      <c r="E276" t="s">
        <v>17</v>
      </c>
      <c r="F276" s="3">
        <v>45769</v>
      </c>
      <c r="G276" s="1">
        <f>YEAR(Patient_data[[#This Row],[Appointment_Date]])</f>
        <v>2025</v>
      </c>
      <c r="H276" s="2" t="str">
        <f>TEXT(Patient_data[[#This Row],[Appointment_Date]],"mmmm")</f>
        <v>April</v>
      </c>
      <c r="I276" s="3" t="str">
        <f>TEXT(Patient_data[[#This Row],[Appointment_Date]],"mmm-yyyy")</f>
        <v>Apr-2025</v>
      </c>
      <c r="J276" s="3">
        <v>45750</v>
      </c>
      <c r="K276" t="s">
        <v>573</v>
      </c>
      <c r="L276" t="s">
        <v>19</v>
      </c>
      <c r="M276" s="4">
        <v>305.01</v>
      </c>
      <c r="N276" t="s">
        <v>20</v>
      </c>
      <c r="O276">
        <f>Patient_data[[#This Row],[Appointment_Date]]-Patient_data[[#This Row],[Booking_Date]]</f>
        <v>19</v>
      </c>
    </row>
    <row r="277" spans="1:15" x14ac:dyDescent="0.25">
      <c r="A277">
        <v>1092</v>
      </c>
      <c r="B277">
        <v>68</v>
      </c>
      <c r="C277" t="s">
        <v>378</v>
      </c>
      <c r="D277" t="s">
        <v>574</v>
      </c>
      <c r="E277" t="s">
        <v>28</v>
      </c>
      <c r="F277" s="3">
        <v>45831</v>
      </c>
      <c r="G277" s="1">
        <f>YEAR(Patient_data[[#This Row],[Appointment_Date]])</f>
        <v>2025</v>
      </c>
      <c r="H277" s="2" t="str">
        <f>TEXT(Patient_data[[#This Row],[Appointment_Date]],"mmmm")</f>
        <v>June</v>
      </c>
      <c r="I277" s="3" t="str">
        <f>TEXT(Patient_data[[#This Row],[Appointment_Date]],"mmm-yyyy")</f>
        <v>Jun-2025</v>
      </c>
      <c r="J277" s="3">
        <v>45589</v>
      </c>
      <c r="K277" t="s">
        <v>575</v>
      </c>
      <c r="L277" t="s">
        <v>30</v>
      </c>
      <c r="M277" s="4">
        <v>69.010000000000005</v>
      </c>
      <c r="N277" t="s">
        <v>20</v>
      </c>
      <c r="O277">
        <f>Patient_data[[#This Row],[Appointment_Date]]-Patient_data[[#This Row],[Booking_Date]]</f>
        <v>242</v>
      </c>
    </row>
    <row r="278" spans="1:15" x14ac:dyDescent="0.25">
      <c r="A278">
        <v>1046</v>
      </c>
      <c r="B278">
        <v>68</v>
      </c>
      <c r="C278" t="s">
        <v>378</v>
      </c>
      <c r="D278" t="s">
        <v>576</v>
      </c>
      <c r="E278" t="s">
        <v>17</v>
      </c>
      <c r="F278" s="3">
        <v>46097</v>
      </c>
      <c r="G278" s="1">
        <f>YEAR(Patient_data[[#This Row],[Appointment_Date]])</f>
        <v>2026</v>
      </c>
      <c r="H278" s="2" t="str">
        <f>TEXT(Patient_data[[#This Row],[Appointment_Date]],"mmmm")</f>
        <v>March</v>
      </c>
      <c r="I278" s="3" t="str">
        <f>TEXT(Patient_data[[#This Row],[Appointment_Date]],"mmm-yyyy")</f>
        <v>Mar-2026</v>
      </c>
      <c r="J278" s="3">
        <v>45418</v>
      </c>
      <c r="K278" t="s">
        <v>577</v>
      </c>
      <c r="L278" t="s">
        <v>43</v>
      </c>
      <c r="M278" s="4">
        <v>17.77</v>
      </c>
      <c r="N278" t="s">
        <v>24</v>
      </c>
      <c r="O278">
        <f>Patient_data[[#This Row],[Appointment_Date]]-Patient_data[[#This Row],[Booking_Date]]</f>
        <v>679</v>
      </c>
    </row>
    <row r="279" spans="1:15" x14ac:dyDescent="0.25">
      <c r="A279">
        <v>1084</v>
      </c>
      <c r="B279">
        <v>68</v>
      </c>
      <c r="C279" t="s">
        <v>378</v>
      </c>
      <c r="D279" t="s">
        <v>578</v>
      </c>
      <c r="E279" t="s">
        <v>17</v>
      </c>
      <c r="F279" s="3">
        <v>45860</v>
      </c>
      <c r="G279" s="1">
        <f>YEAR(Patient_data[[#This Row],[Appointment_Date]])</f>
        <v>2025</v>
      </c>
      <c r="H279" s="2" t="str">
        <f>TEXT(Patient_data[[#This Row],[Appointment_Date]],"mmmm")</f>
        <v>July</v>
      </c>
      <c r="I279" s="3" t="str">
        <f>TEXT(Patient_data[[#This Row],[Appointment_Date]],"mmm-yyyy")</f>
        <v>Jul-2025</v>
      </c>
      <c r="J279" s="3">
        <v>45836</v>
      </c>
      <c r="K279" t="s">
        <v>579</v>
      </c>
      <c r="L279" t="s">
        <v>23</v>
      </c>
      <c r="M279" s="4">
        <v>11.4</v>
      </c>
      <c r="N279" t="s">
        <v>20</v>
      </c>
      <c r="O279">
        <f>Patient_data[[#This Row],[Appointment_Date]]-Patient_data[[#This Row],[Booking_Date]]</f>
        <v>24</v>
      </c>
    </row>
    <row r="280" spans="1:15" x14ac:dyDescent="0.25">
      <c r="A280">
        <v>1056</v>
      </c>
      <c r="B280">
        <v>67</v>
      </c>
      <c r="C280" t="s">
        <v>378</v>
      </c>
      <c r="D280" t="s">
        <v>580</v>
      </c>
      <c r="E280" t="s">
        <v>28</v>
      </c>
      <c r="F280" s="3">
        <v>45913</v>
      </c>
      <c r="G280" s="1">
        <f>YEAR(Patient_data[[#This Row],[Appointment_Date]])</f>
        <v>2025</v>
      </c>
      <c r="H280" s="2" t="str">
        <f>TEXT(Patient_data[[#This Row],[Appointment_Date]],"mmmm")</f>
        <v>September</v>
      </c>
      <c r="I280" s="3" t="str">
        <f>TEXT(Patient_data[[#This Row],[Appointment_Date]],"mmm-yyyy")</f>
        <v>Sep-2025</v>
      </c>
      <c r="J280" s="3">
        <v>45664</v>
      </c>
      <c r="K280" t="s">
        <v>581</v>
      </c>
      <c r="L280" t="s">
        <v>43</v>
      </c>
      <c r="M280" s="4">
        <v>15.31</v>
      </c>
      <c r="N280" t="s">
        <v>24</v>
      </c>
      <c r="O280">
        <f>Patient_data[[#This Row],[Appointment_Date]]-Patient_data[[#This Row],[Booking_Date]]</f>
        <v>249</v>
      </c>
    </row>
    <row r="281" spans="1:15" x14ac:dyDescent="0.25">
      <c r="A281">
        <v>1091</v>
      </c>
      <c r="B281">
        <v>67</v>
      </c>
      <c r="C281" t="s">
        <v>378</v>
      </c>
      <c r="D281" t="s">
        <v>582</v>
      </c>
      <c r="E281" t="s">
        <v>28</v>
      </c>
      <c r="F281" s="3">
        <v>45870</v>
      </c>
      <c r="G281" s="1">
        <f>YEAR(Patient_data[[#This Row],[Appointment_Date]])</f>
        <v>2025</v>
      </c>
      <c r="H281" s="2" t="str">
        <f>TEXT(Patient_data[[#This Row],[Appointment_Date]],"mmmm")</f>
        <v>August</v>
      </c>
      <c r="I281" s="3" t="str">
        <f>TEXT(Patient_data[[#This Row],[Appointment_Date]],"mmm-yyyy")</f>
        <v>Aug-2025</v>
      </c>
      <c r="J281" s="3">
        <v>45786</v>
      </c>
      <c r="K281" t="s">
        <v>583</v>
      </c>
      <c r="L281" t="s">
        <v>19</v>
      </c>
      <c r="M281" s="4">
        <v>29.83</v>
      </c>
      <c r="N281" t="s">
        <v>20</v>
      </c>
      <c r="O281">
        <f>Patient_data[[#This Row],[Appointment_Date]]-Patient_data[[#This Row],[Booking_Date]]</f>
        <v>84</v>
      </c>
    </row>
    <row r="282" spans="1:15" x14ac:dyDescent="0.25">
      <c r="A282">
        <v>1074</v>
      </c>
      <c r="B282">
        <v>67</v>
      </c>
      <c r="C282" t="s">
        <v>378</v>
      </c>
      <c r="D282" t="s">
        <v>584</v>
      </c>
      <c r="E282" t="s">
        <v>28</v>
      </c>
      <c r="F282" s="3">
        <v>45905</v>
      </c>
      <c r="G282" s="1">
        <f>YEAR(Patient_data[[#This Row],[Appointment_Date]])</f>
        <v>2025</v>
      </c>
      <c r="H282" s="2" t="str">
        <f>TEXT(Patient_data[[#This Row],[Appointment_Date]],"mmmm")</f>
        <v>September</v>
      </c>
      <c r="I282" s="3" t="str">
        <f>TEXT(Patient_data[[#This Row],[Appointment_Date]],"mmm-yyyy")</f>
        <v>Sep-2025</v>
      </c>
      <c r="J282" s="3">
        <v>45431</v>
      </c>
      <c r="K282" t="s">
        <v>585</v>
      </c>
      <c r="L282" t="s">
        <v>19</v>
      </c>
      <c r="M282" s="4">
        <v>8.07</v>
      </c>
      <c r="N282" t="s">
        <v>24</v>
      </c>
      <c r="O282">
        <f>Patient_data[[#This Row],[Appointment_Date]]-Patient_data[[#This Row],[Booking_Date]]</f>
        <v>474</v>
      </c>
    </row>
    <row r="283" spans="1:15" x14ac:dyDescent="0.25">
      <c r="A283">
        <v>1009</v>
      </c>
      <c r="B283">
        <v>67</v>
      </c>
      <c r="C283" t="s">
        <v>378</v>
      </c>
      <c r="D283" t="s">
        <v>586</v>
      </c>
      <c r="E283" t="s">
        <v>28</v>
      </c>
      <c r="F283" s="3">
        <v>45840</v>
      </c>
      <c r="G283" s="1">
        <f>YEAR(Patient_data[[#This Row],[Appointment_Date]])</f>
        <v>2025</v>
      </c>
      <c r="H283" s="2" t="str">
        <f>TEXT(Patient_data[[#This Row],[Appointment_Date]],"mmmm")</f>
        <v>July</v>
      </c>
      <c r="I283" s="3" t="str">
        <f>TEXT(Patient_data[[#This Row],[Appointment_Date]],"mmm-yyyy")</f>
        <v>Jul-2025</v>
      </c>
      <c r="J283" s="3">
        <v>45447</v>
      </c>
      <c r="K283" t="s">
        <v>587</v>
      </c>
      <c r="L283" t="s">
        <v>43</v>
      </c>
      <c r="M283" s="4">
        <v>88.8</v>
      </c>
      <c r="N283" t="s">
        <v>20</v>
      </c>
      <c r="O283">
        <f>Patient_data[[#This Row],[Appointment_Date]]-Patient_data[[#This Row],[Booking_Date]]</f>
        <v>393</v>
      </c>
    </row>
    <row r="284" spans="1:15" x14ac:dyDescent="0.25">
      <c r="A284">
        <v>1082</v>
      </c>
      <c r="B284">
        <v>67</v>
      </c>
      <c r="C284" t="s">
        <v>378</v>
      </c>
      <c r="D284" t="s">
        <v>588</v>
      </c>
      <c r="E284" t="s">
        <v>17</v>
      </c>
      <c r="F284" s="3">
        <v>45857</v>
      </c>
      <c r="G284" s="1">
        <f>YEAR(Patient_data[[#This Row],[Appointment_Date]])</f>
        <v>2025</v>
      </c>
      <c r="H284" s="2" t="str">
        <f>TEXT(Patient_data[[#This Row],[Appointment_Date]],"mmmm")</f>
        <v>July</v>
      </c>
      <c r="I284" s="3" t="str">
        <f>TEXT(Patient_data[[#This Row],[Appointment_Date]],"mmm-yyyy")</f>
        <v>Jul-2025</v>
      </c>
      <c r="J284" s="3">
        <v>45630</v>
      </c>
      <c r="K284" t="s">
        <v>589</v>
      </c>
      <c r="L284" t="s">
        <v>23</v>
      </c>
      <c r="M284" s="4">
        <v>49.33</v>
      </c>
      <c r="N284" t="s">
        <v>24</v>
      </c>
      <c r="O284">
        <f>Patient_data[[#This Row],[Appointment_Date]]-Patient_data[[#This Row],[Booking_Date]]</f>
        <v>227</v>
      </c>
    </row>
    <row r="285" spans="1:15" x14ac:dyDescent="0.25">
      <c r="A285">
        <v>1041</v>
      </c>
      <c r="B285">
        <v>67</v>
      </c>
      <c r="C285" t="s">
        <v>378</v>
      </c>
      <c r="D285" t="s">
        <v>590</v>
      </c>
      <c r="E285" t="s">
        <v>28</v>
      </c>
      <c r="F285" s="3">
        <v>45764</v>
      </c>
      <c r="G285" s="1">
        <f>YEAR(Patient_data[[#This Row],[Appointment_Date]])</f>
        <v>2025</v>
      </c>
      <c r="H285" s="2" t="str">
        <f>TEXT(Patient_data[[#This Row],[Appointment_Date]],"mmmm")</f>
        <v>April</v>
      </c>
      <c r="I285" s="3" t="str">
        <f>TEXT(Patient_data[[#This Row],[Appointment_Date]],"mmm-yyyy")</f>
        <v>Apr-2025</v>
      </c>
      <c r="J285" s="3">
        <v>45550</v>
      </c>
      <c r="K285" t="s">
        <v>591</v>
      </c>
      <c r="L285" t="s">
        <v>43</v>
      </c>
      <c r="M285" s="4">
        <v>78.180000000000007</v>
      </c>
      <c r="N285" t="s">
        <v>20</v>
      </c>
      <c r="O285">
        <f>Patient_data[[#This Row],[Appointment_Date]]-Patient_data[[#This Row],[Booking_Date]]</f>
        <v>214</v>
      </c>
    </row>
    <row r="286" spans="1:15" x14ac:dyDescent="0.25">
      <c r="A286">
        <v>1061</v>
      </c>
      <c r="B286">
        <v>67</v>
      </c>
      <c r="C286" t="s">
        <v>378</v>
      </c>
      <c r="D286" t="s">
        <v>592</v>
      </c>
      <c r="E286" t="s">
        <v>17</v>
      </c>
      <c r="F286" s="3">
        <v>45977</v>
      </c>
      <c r="G286" s="1">
        <f>YEAR(Patient_data[[#This Row],[Appointment_Date]])</f>
        <v>2025</v>
      </c>
      <c r="H286" s="2" t="str">
        <f>TEXT(Patient_data[[#This Row],[Appointment_Date]],"mmmm")</f>
        <v>November</v>
      </c>
      <c r="I286" s="3" t="str">
        <f>TEXT(Patient_data[[#This Row],[Appointment_Date]],"mmm-yyyy")</f>
        <v>Nov-2025</v>
      </c>
      <c r="J286" s="3">
        <v>45657</v>
      </c>
      <c r="K286" t="s">
        <v>593</v>
      </c>
      <c r="L286" t="s">
        <v>23</v>
      </c>
      <c r="M286" s="4">
        <v>77.53</v>
      </c>
      <c r="N286" t="s">
        <v>24</v>
      </c>
      <c r="O286">
        <f>Patient_data[[#This Row],[Appointment_Date]]-Patient_data[[#This Row],[Booking_Date]]</f>
        <v>320</v>
      </c>
    </row>
    <row r="287" spans="1:15" x14ac:dyDescent="0.25">
      <c r="A287">
        <v>1075</v>
      </c>
      <c r="B287">
        <v>67</v>
      </c>
      <c r="C287" t="s">
        <v>378</v>
      </c>
      <c r="D287" t="s">
        <v>594</v>
      </c>
      <c r="E287" t="s">
        <v>28</v>
      </c>
      <c r="F287" s="3">
        <v>45820</v>
      </c>
      <c r="G287" s="1">
        <f>YEAR(Patient_data[[#This Row],[Appointment_Date]])</f>
        <v>2025</v>
      </c>
      <c r="H287" s="2" t="str">
        <f>TEXT(Patient_data[[#This Row],[Appointment_Date]],"mmmm")</f>
        <v>June</v>
      </c>
      <c r="I287" s="3" t="str">
        <f>TEXT(Patient_data[[#This Row],[Appointment_Date]],"mmm-yyyy")</f>
        <v>Jun-2025</v>
      </c>
      <c r="J287" s="3">
        <v>45795</v>
      </c>
      <c r="K287" t="s">
        <v>595</v>
      </c>
      <c r="L287" t="s">
        <v>19</v>
      </c>
      <c r="M287" s="4">
        <v>61.5</v>
      </c>
      <c r="N287" t="s">
        <v>20</v>
      </c>
      <c r="O287">
        <f>Patient_data[[#This Row],[Appointment_Date]]-Patient_data[[#This Row],[Booking_Date]]</f>
        <v>25</v>
      </c>
    </row>
    <row r="288" spans="1:15" x14ac:dyDescent="0.25">
      <c r="A288">
        <v>1085</v>
      </c>
      <c r="B288">
        <v>67</v>
      </c>
      <c r="C288" t="s">
        <v>378</v>
      </c>
      <c r="D288" t="s">
        <v>596</v>
      </c>
      <c r="E288" t="s">
        <v>28</v>
      </c>
      <c r="F288" s="3">
        <v>45797</v>
      </c>
      <c r="G288" s="1">
        <f>YEAR(Patient_data[[#This Row],[Appointment_Date]])</f>
        <v>2025</v>
      </c>
      <c r="H288" s="2" t="str">
        <f>TEXT(Patient_data[[#This Row],[Appointment_Date]],"mmmm")</f>
        <v>May</v>
      </c>
      <c r="I288" s="3" t="str">
        <f>TEXT(Patient_data[[#This Row],[Appointment_Date]],"mmm-yyyy")</f>
        <v>May-2025</v>
      </c>
      <c r="J288" s="3">
        <v>45736</v>
      </c>
      <c r="K288" t="s">
        <v>597</v>
      </c>
      <c r="L288" t="s">
        <v>43</v>
      </c>
      <c r="M288" s="4">
        <v>308.58999999999997</v>
      </c>
      <c r="N288" t="s">
        <v>20</v>
      </c>
      <c r="O288">
        <f>Patient_data[[#This Row],[Appointment_Date]]-Patient_data[[#This Row],[Booking_Date]]</f>
        <v>61</v>
      </c>
    </row>
    <row r="289" spans="1:15" x14ac:dyDescent="0.25">
      <c r="A289">
        <v>1044</v>
      </c>
      <c r="B289">
        <v>67</v>
      </c>
      <c r="C289" t="s">
        <v>378</v>
      </c>
      <c r="D289" t="s">
        <v>598</v>
      </c>
      <c r="E289" t="s">
        <v>17</v>
      </c>
      <c r="F289" s="3">
        <v>45759</v>
      </c>
      <c r="G289" s="1">
        <f>YEAR(Patient_data[[#This Row],[Appointment_Date]])</f>
        <v>2025</v>
      </c>
      <c r="H289" s="2" t="str">
        <f>TEXT(Patient_data[[#This Row],[Appointment_Date]],"mmmm")</f>
        <v>April</v>
      </c>
      <c r="I289" s="3" t="str">
        <f>TEXT(Patient_data[[#This Row],[Appointment_Date]],"mmm-yyyy")</f>
        <v>Apr-2025</v>
      </c>
      <c r="J289" s="3">
        <v>45486</v>
      </c>
      <c r="K289" t="s">
        <v>599</v>
      </c>
      <c r="L289" t="s">
        <v>19</v>
      </c>
      <c r="M289" s="4">
        <v>277.51</v>
      </c>
      <c r="N289" t="s">
        <v>20</v>
      </c>
      <c r="O289">
        <f>Patient_data[[#This Row],[Appointment_Date]]-Patient_data[[#This Row],[Booking_Date]]</f>
        <v>273</v>
      </c>
    </row>
    <row r="290" spans="1:15" x14ac:dyDescent="0.25">
      <c r="A290">
        <v>1048</v>
      </c>
      <c r="B290">
        <v>67</v>
      </c>
      <c r="C290" t="s">
        <v>378</v>
      </c>
      <c r="D290" t="s">
        <v>600</v>
      </c>
      <c r="E290" t="s">
        <v>17</v>
      </c>
      <c r="F290" s="3">
        <v>45988</v>
      </c>
      <c r="G290" s="1">
        <f>YEAR(Patient_data[[#This Row],[Appointment_Date]])</f>
        <v>2025</v>
      </c>
      <c r="H290" s="2" t="str">
        <f>TEXT(Patient_data[[#This Row],[Appointment_Date]],"mmmm")</f>
        <v>November</v>
      </c>
      <c r="I290" s="3" t="str">
        <f>TEXT(Patient_data[[#This Row],[Appointment_Date]],"mmm-yyyy")</f>
        <v>Nov-2025</v>
      </c>
      <c r="J290" s="3">
        <v>45503</v>
      </c>
      <c r="K290" t="s">
        <v>601</v>
      </c>
      <c r="L290" t="s">
        <v>19</v>
      </c>
      <c r="M290" s="4">
        <v>285.22000000000003</v>
      </c>
      <c r="N290" t="s">
        <v>20</v>
      </c>
      <c r="O290">
        <f>Patient_data[[#This Row],[Appointment_Date]]-Patient_data[[#This Row],[Booking_Date]]</f>
        <v>485</v>
      </c>
    </row>
    <row r="291" spans="1:15" x14ac:dyDescent="0.25">
      <c r="A291">
        <v>1014</v>
      </c>
      <c r="B291">
        <v>67</v>
      </c>
      <c r="C291" t="s">
        <v>378</v>
      </c>
      <c r="D291" t="s">
        <v>602</v>
      </c>
      <c r="E291" t="s">
        <v>28</v>
      </c>
      <c r="F291" s="3">
        <v>46107</v>
      </c>
      <c r="G291" s="1">
        <f>YEAR(Patient_data[[#This Row],[Appointment_Date]])</f>
        <v>2026</v>
      </c>
      <c r="H291" s="2" t="str">
        <f>TEXT(Patient_data[[#This Row],[Appointment_Date]],"mmmm")</f>
        <v>March</v>
      </c>
      <c r="I291" s="3" t="str">
        <f>TEXT(Patient_data[[#This Row],[Appointment_Date]],"mmm-yyyy")</f>
        <v>Mar-2026</v>
      </c>
      <c r="J291" s="3">
        <v>46088</v>
      </c>
      <c r="K291" t="s">
        <v>603</v>
      </c>
      <c r="L291" t="s">
        <v>23</v>
      </c>
      <c r="M291" s="4">
        <v>281.44</v>
      </c>
      <c r="N291" t="s">
        <v>20</v>
      </c>
      <c r="O291">
        <f>Patient_data[[#This Row],[Appointment_Date]]-Patient_data[[#This Row],[Booking_Date]]</f>
        <v>19</v>
      </c>
    </row>
    <row r="292" spans="1:15" x14ac:dyDescent="0.25">
      <c r="A292">
        <v>1004</v>
      </c>
      <c r="B292">
        <v>67</v>
      </c>
      <c r="C292" t="s">
        <v>378</v>
      </c>
      <c r="D292" t="s">
        <v>604</v>
      </c>
      <c r="E292" t="s">
        <v>28</v>
      </c>
      <c r="F292" s="3">
        <v>45981</v>
      </c>
      <c r="G292" s="1">
        <f>YEAR(Patient_data[[#This Row],[Appointment_Date]])</f>
        <v>2025</v>
      </c>
      <c r="H292" s="2" t="str">
        <f>TEXT(Patient_data[[#This Row],[Appointment_Date]],"mmmm")</f>
        <v>November</v>
      </c>
      <c r="I292" s="3" t="str">
        <f>TEXT(Patient_data[[#This Row],[Appointment_Date]],"mmm-yyyy")</f>
        <v>Nov-2025</v>
      </c>
      <c r="J292" s="3">
        <v>45871</v>
      </c>
      <c r="K292" t="s">
        <v>605</v>
      </c>
      <c r="L292" t="s">
        <v>19</v>
      </c>
      <c r="M292" s="4">
        <v>338.13</v>
      </c>
      <c r="N292" t="s">
        <v>24</v>
      </c>
      <c r="O292">
        <f>Patient_data[[#This Row],[Appointment_Date]]-Patient_data[[#This Row],[Booking_Date]]</f>
        <v>110</v>
      </c>
    </row>
    <row r="293" spans="1:15" x14ac:dyDescent="0.25">
      <c r="A293">
        <v>1008</v>
      </c>
      <c r="B293">
        <v>67</v>
      </c>
      <c r="C293" t="s">
        <v>378</v>
      </c>
      <c r="D293" t="s">
        <v>606</v>
      </c>
      <c r="E293" t="s">
        <v>28</v>
      </c>
      <c r="F293" s="3">
        <v>45756</v>
      </c>
      <c r="G293" s="1">
        <f>YEAR(Patient_data[[#This Row],[Appointment_Date]])</f>
        <v>2025</v>
      </c>
      <c r="H293" s="2" t="str">
        <f>TEXT(Patient_data[[#This Row],[Appointment_Date]],"mmmm")</f>
        <v>April</v>
      </c>
      <c r="I293" s="3" t="str">
        <f>TEXT(Patient_data[[#This Row],[Appointment_Date]],"mmm-yyyy")</f>
        <v>Apr-2025</v>
      </c>
      <c r="J293" s="3">
        <v>45463</v>
      </c>
      <c r="K293" t="s">
        <v>410</v>
      </c>
      <c r="L293" t="s">
        <v>23</v>
      </c>
      <c r="M293" s="4">
        <v>244.49</v>
      </c>
      <c r="N293" t="s">
        <v>20</v>
      </c>
      <c r="O293">
        <f>Patient_data[[#This Row],[Appointment_Date]]-Patient_data[[#This Row],[Booking_Date]]</f>
        <v>293</v>
      </c>
    </row>
    <row r="294" spans="1:15" x14ac:dyDescent="0.25">
      <c r="A294">
        <v>1059</v>
      </c>
      <c r="B294">
        <v>66</v>
      </c>
      <c r="C294" t="s">
        <v>378</v>
      </c>
      <c r="D294" t="s">
        <v>607</v>
      </c>
      <c r="E294" t="s">
        <v>28</v>
      </c>
      <c r="F294" s="3">
        <v>45972</v>
      </c>
      <c r="G294" s="1">
        <f>YEAR(Patient_data[[#This Row],[Appointment_Date]])</f>
        <v>2025</v>
      </c>
      <c r="H294" s="2" t="str">
        <f>TEXT(Patient_data[[#This Row],[Appointment_Date]],"mmmm")</f>
        <v>November</v>
      </c>
      <c r="I294" s="3" t="str">
        <f>TEXT(Patient_data[[#This Row],[Appointment_Date]],"mmm-yyyy")</f>
        <v>Nov-2025</v>
      </c>
      <c r="J294" s="3">
        <v>45627</v>
      </c>
      <c r="K294" t="s">
        <v>608</v>
      </c>
      <c r="L294" t="s">
        <v>30</v>
      </c>
      <c r="M294" s="4">
        <v>53.07</v>
      </c>
      <c r="N294" t="s">
        <v>24</v>
      </c>
      <c r="O294">
        <f>Patient_data[[#This Row],[Appointment_Date]]-Patient_data[[#This Row],[Booking_Date]]</f>
        <v>345</v>
      </c>
    </row>
    <row r="295" spans="1:15" x14ac:dyDescent="0.25">
      <c r="A295">
        <v>1015</v>
      </c>
      <c r="B295">
        <v>66</v>
      </c>
      <c r="C295" t="s">
        <v>378</v>
      </c>
      <c r="D295" t="s">
        <v>609</v>
      </c>
      <c r="E295" t="s">
        <v>17</v>
      </c>
      <c r="F295" s="3">
        <v>46050</v>
      </c>
      <c r="G295" s="1">
        <f>YEAR(Patient_data[[#This Row],[Appointment_Date]])</f>
        <v>2026</v>
      </c>
      <c r="H295" s="2" t="str">
        <f>TEXT(Patient_data[[#This Row],[Appointment_Date]],"mmmm")</f>
        <v>January</v>
      </c>
      <c r="I295" s="3" t="str">
        <f>TEXT(Patient_data[[#This Row],[Appointment_Date]],"mmm-yyyy")</f>
        <v>Jan-2026</v>
      </c>
      <c r="J295" s="3">
        <v>45783</v>
      </c>
      <c r="K295" t="s">
        <v>610</v>
      </c>
      <c r="L295" t="s">
        <v>19</v>
      </c>
      <c r="M295" s="4">
        <v>67.06</v>
      </c>
      <c r="N295" t="s">
        <v>20</v>
      </c>
      <c r="O295">
        <f>Patient_data[[#This Row],[Appointment_Date]]-Patient_data[[#This Row],[Booking_Date]]</f>
        <v>267</v>
      </c>
    </row>
    <row r="296" spans="1:15" x14ac:dyDescent="0.25">
      <c r="A296">
        <v>1011</v>
      </c>
      <c r="B296">
        <v>66</v>
      </c>
      <c r="C296" t="s">
        <v>378</v>
      </c>
      <c r="D296" t="s">
        <v>611</v>
      </c>
      <c r="E296" t="s">
        <v>17</v>
      </c>
      <c r="F296" s="3">
        <v>45776</v>
      </c>
      <c r="G296" s="1">
        <f>YEAR(Patient_data[[#This Row],[Appointment_Date]])</f>
        <v>2025</v>
      </c>
      <c r="H296" s="2" t="str">
        <f>TEXT(Patient_data[[#This Row],[Appointment_Date]],"mmmm")</f>
        <v>April</v>
      </c>
      <c r="I296" s="3" t="str">
        <f>TEXT(Patient_data[[#This Row],[Appointment_Date]],"mmm-yyyy")</f>
        <v>Apr-2025</v>
      </c>
      <c r="J296" s="3">
        <v>45754</v>
      </c>
      <c r="K296" t="s">
        <v>612</v>
      </c>
      <c r="L296" t="s">
        <v>23</v>
      </c>
      <c r="M296" s="4">
        <v>413.21</v>
      </c>
      <c r="N296" t="s">
        <v>24</v>
      </c>
      <c r="O296">
        <f>Patient_data[[#This Row],[Appointment_Date]]-Patient_data[[#This Row],[Booking_Date]]</f>
        <v>22</v>
      </c>
    </row>
    <row r="297" spans="1:15" x14ac:dyDescent="0.25">
      <c r="A297">
        <v>1043</v>
      </c>
      <c r="B297">
        <v>66</v>
      </c>
      <c r="C297" t="s">
        <v>378</v>
      </c>
      <c r="D297" t="s">
        <v>613</v>
      </c>
      <c r="E297" t="s">
        <v>28</v>
      </c>
      <c r="F297" s="3">
        <v>45983</v>
      </c>
      <c r="G297" s="1">
        <f>YEAR(Patient_data[[#This Row],[Appointment_Date]])</f>
        <v>2025</v>
      </c>
      <c r="H297" s="2" t="str">
        <f>TEXT(Patient_data[[#This Row],[Appointment_Date]],"mmmm")</f>
        <v>November</v>
      </c>
      <c r="I297" s="3" t="str">
        <f>TEXT(Patient_data[[#This Row],[Appointment_Date]],"mmm-yyyy")</f>
        <v>Nov-2025</v>
      </c>
      <c r="J297" s="3">
        <v>45907</v>
      </c>
      <c r="K297" t="s">
        <v>614</v>
      </c>
      <c r="L297" t="s">
        <v>19</v>
      </c>
      <c r="M297" s="4">
        <v>66.59</v>
      </c>
      <c r="N297" t="s">
        <v>24</v>
      </c>
      <c r="O297">
        <f>Patient_data[[#This Row],[Appointment_Date]]-Patient_data[[#This Row],[Booking_Date]]</f>
        <v>76</v>
      </c>
    </row>
    <row r="298" spans="1:15" x14ac:dyDescent="0.25">
      <c r="A298">
        <v>1093</v>
      </c>
      <c r="B298">
        <v>66</v>
      </c>
      <c r="C298" t="s">
        <v>378</v>
      </c>
      <c r="D298" t="s">
        <v>615</v>
      </c>
      <c r="E298" t="s">
        <v>28</v>
      </c>
      <c r="F298" s="3">
        <v>46055</v>
      </c>
      <c r="G298" s="1">
        <f>YEAR(Patient_data[[#This Row],[Appointment_Date]])</f>
        <v>2026</v>
      </c>
      <c r="H298" s="2" t="str">
        <f>TEXT(Patient_data[[#This Row],[Appointment_Date]],"mmmm")</f>
        <v>February</v>
      </c>
      <c r="I298" s="3" t="str">
        <f>TEXT(Patient_data[[#This Row],[Appointment_Date]],"mmm-yyyy")</f>
        <v>Feb-2026</v>
      </c>
      <c r="J298" s="3">
        <v>45702</v>
      </c>
      <c r="K298" t="s">
        <v>616</v>
      </c>
      <c r="L298" t="s">
        <v>19</v>
      </c>
      <c r="M298" s="4">
        <v>41.91</v>
      </c>
      <c r="N298" t="s">
        <v>24</v>
      </c>
      <c r="O298">
        <f>Patient_data[[#This Row],[Appointment_Date]]-Patient_data[[#This Row],[Booking_Date]]</f>
        <v>353</v>
      </c>
    </row>
    <row r="299" spans="1:15" x14ac:dyDescent="0.25">
      <c r="A299">
        <v>1030</v>
      </c>
      <c r="B299">
        <v>66</v>
      </c>
      <c r="C299" t="s">
        <v>378</v>
      </c>
      <c r="D299" t="s">
        <v>617</v>
      </c>
      <c r="E299" t="s">
        <v>28</v>
      </c>
      <c r="F299" s="3">
        <v>45953</v>
      </c>
      <c r="G299" s="1">
        <f>YEAR(Patient_data[[#This Row],[Appointment_Date]])</f>
        <v>2025</v>
      </c>
      <c r="H299" s="2" t="str">
        <f>TEXT(Patient_data[[#This Row],[Appointment_Date]],"mmmm")</f>
        <v>October</v>
      </c>
      <c r="I299" s="3" t="str">
        <f>TEXT(Patient_data[[#This Row],[Appointment_Date]],"mmm-yyyy")</f>
        <v>Oct-2025</v>
      </c>
      <c r="J299" s="3">
        <v>45437</v>
      </c>
      <c r="K299" t="s">
        <v>618</v>
      </c>
      <c r="L299" t="s">
        <v>30</v>
      </c>
      <c r="M299" s="4">
        <v>490.08</v>
      </c>
      <c r="N299" t="s">
        <v>24</v>
      </c>
      <c r="O299">
        <f>Patient_data[[#This Row],[Appointment_Date]]-Patient_data[[#This Row],[Booking_Date]]</f>
        <v>516</v>
      </c>
    </row>
    <row r="300" spans="1:15" x14ac:dyDescent="0.25">
      <c r="A300">
        <v>1054</v>
      </c>
      <c r="B300">
        <v>66</v>
      </c>
      <c r="C300" t="s">
        <v>378</v>
      </c>
      <c r="D300" t="s">
        <v>619</v>
      </c>
      <c r="E300" t="s">
        <v>17</v>
      </c>
      <c r="F300" s="3">
        <v>45755</v>
      </c>
      <c r="G300" s="1">
        <f>YEAR(Patient_data[[#This Row],[Appointment_Date]])</f>
        <v>2025</v>
      </c>
      <c r="H300" s="2" t="str">
        <f>TEXT(Patient_data[[#This Row],[Appointment_Date]],"mmmm")</f>
        <v>April</v>
      </c>
      <c r="I300" s="3" t="str">
        <f>TEXT(Patient_data[[#This Row],[Appointment_Date]],"mmm-yyyy")</f>
        <v>Apr-2025</v>
      </c>
      <c r="J300" s="3">
        <v>45659</v>
      </c>
      <c r="K300" t="s">
        <v>620</v>
      </c>
      <c r="L300" t="s">
        <v>43</v>
      </c>
      <c r="M300" s="4">
        <v>290.47000000000003</v>
      </c>
      <c r="N300" t="s">
        <v>24</v>
      </c>
      <c r="O300">
        <f>Patient_data[[#This Row],[Appointment_Date]]-Patient_data[[#This Row],[Booking_Date]]</f>
        <v>96</v>
      </c>
    </row>
    <row r="301" spans="1:15" x14ac:dyDescent="0.25">
      <c r="A301">
        <v>1098</v>
      </c>
      <c r="B301">
        <v>66</v>
      </c>
      <c r="C301" t="s">
        <v>378</v>
      </c>
      <c r="D301" t="s">
        <v>621</v>
      </c>
      <c r="E301" t="s">
        <v>28</v>
      </c>
      <c r="F301" s="3">
        <v>45794</v>
      </c>
      <c r="G301" s="1">
        <f>YEAR(Patient_data[[#This Row],[Appointment_Date]])</f>
        <v>2025</v>
      </c>
      <c r="H301" s="2" t="str">
        <f>TEXT(Patient_data[[#This Row],[Appointment_Date]],"mmmm")</f>
        <v>May</v>
      </c>
      <c r="I301" s="3" t="str">
        <f>TEXT(Patient_data[[#This Row],[Appointment_Date]],"mmm-yyyy")</f>
        <v>May-2025</v>
      </c>
      <c r="J301" s="3">
        <v>45533</v>
      </c>
      <c r="K301" t="s">
        <v>622</v>
      </c>
      <c r="L301" t="s">
        <v>19</v>
      </c>
      <c r="M301" s="4">
        <v>39.99</v>
      </c>
      <c r="N301" t="s">
        <v>20</v>
      </c>
      <c r="O301">
        <f>Patient_data[[#This Row],[Appointment_Date]]-Patient_data[[#This Row],[Booking_Date]]</f>
        <v>261</v>
      </c>
    </row>
    <row r="302" spans="1:15" x14ac:dyDescent="0.25">
      <c r="A302">
        <v>1047</v>
      </c>
      <c r="B302">
        <v>66</v>
      </c>
      <c r="C302" t="s">
        <v>378</v>
      </c>
      <c r="D302" t="s">
        <v>623</v>
      </c>
      <c r="E302" t="s">
        <v>17</v>
      </c>
      <c r="F302" s="3">
        <v>45890</v>
      </c>
      <c r="G302" s="1">
        <f>YEAR(Patient_data[[#This Row],[Appointment_Date]])</f>
        <v>2025</v>
      </c>
      <c r="H302" s="2" t="str">
        <f>TEXT(Patient_data[[#This Row],[Appointment_Date]],"mmmm")</f>
        <v>August</v>
      </c>
      <c r="I302" s="3" t="str">
        <f>TEXT(Patient_data[[#This Row],[Appointment_Date]],"mmm-yyyy")</f>
        <v>Aug-2025</v>
      </c>
      <c r="J302" s="3">
        <v>45448</v>
      </c>
      <c r="K302" t="s">
        <v>624</v>
      </c>
      <c r="L302" t="s">
        <v>23</v>
      </c>
      <c r="M302" s="4">
        <v>61.87</v>
      </c>
      <c r="N302" t="s">
        <v>20</v>
      </c>
      <c r="O302">
        <f>Patient_data[[#This Row],[Appointment_Date]]-Patient_data[[#This Row],[Booking_Date]]</f>
        <v>442</v>
      </c>
    </row>
    <row r="303" spans="1:15" x14ac:dyDescent="0.25">
      <c r="A303">
        <v>1053</v>
      </c>
      <c r="B303">
        <v>66</v>
      </c>
      <c r="C303" t="s">
        <v>378</v>
      </c>
      <c r="D303" t="s">
        <v>625</v>
      </c>
      <c r="E303" t="s">
        <v>17</v>
      </c>
      <c r="F303" s="3">
        <v>45893</v>
      </c>
      <c r="G303" s="1">
        <f>YEAR(Patient_data[[#This Row],[Appointment_Date]])</f>
        <v>2025</v>
      </c>
      <c r="H303" s="2" t="str">
        <f>TEXT(Patient_data[[#This Row],[Appointment_Date]],"mmmm")</f>
        <v>August</v>
      </c>
      <c r="I303" s="3" t="str">
        <f>TEXT(Patient_data[[#This Row],[Appointment_Date]],"mmm-yyyy")</f>
        <v>Aug-2025</v>
      </c>
      <c r="J303" s="3">
        <v>45431</v>
      </c>
      <c r="K303" t="s">
        <v>626</v>
      </c>
      <c r="L303" t="s">
        <v>43</v>
      </c>
      <c r="M303" s="4">
        <v>82.03</v>
      </c>
      <c r="N303" t="s">
        <v>20</v>
      </c>
      <c r="O303">
        <f>Patient_data[[#This Row],[Appointment_Date]]-Patient_data[[#This Row],[Booking_Date]]</f>
        <v>462</v>
      </c>
    </row>
    <row r="304" spans="1:15" x14ac:dyDescent="0.25">
      <c r="A304">
        <v>1045</v>
      </c>
      <c r="B304">
        <v>66</v>
      </c>
      <c r="C304" t="s">
        <v>378</v>
      </c>
      <c r="D304" t="s">
        <v>627</v>
      </c>
      <c r="E304" t="s">
        <v>28</v>
      </c>
      <c r="F304" s="3">
        <v>45800</v>
      </c>
      <c r="G304" s="1">
        <f>YEAR(Patient_data[[#This Row],[Appointment_Date]])</f>
        <v>2025</v>
      </c>
      <c r="H304" s="2" t="str">
        <f>TEXT(Patient_data[[#This Row],[Appointment_Date]],"mmmm")</f>
        <v>May</v>
      </c>
      <c r="I304" s="3" t="str">
        <f>TEXT(Patient_data[[#This Row],[Appointment_Date]],"mmm-yyyy")</f>
        <v>May-2025</v>
      </c>
      <c r="J304" s="3">
        <v>45411</v>
      </c>
      <c r="K304" t="s">
        <v>628</v>
      </c>
      <c r="L304" t="s">
        <v>43</v>
      </c>
      <c r="M304" s="4">
        <v>0.78</v>
      </c>
      <c r="N304" t="s">
        <v>24</v>
      </c>
      <c r="O304">
        <f>Patient_data[[#This Row],[Appointment_Date]]-Patient_data[[#This Row],[Booking_Date]]</f>
        <v>389</v>
      </c>
    </row>
    <row r="305" spans="1:15" x14ac:dyDescent="0.25">
      <c r="A305">
        <v>1019</v>
      </c>
      <c r="B305">
        <v>66</v>
      </c>
      <c r="C305" t="s">
        <v>378</v>
      </c>
      <c r="D305" t="s">
        <v>629</v>
      </c>
      <c r="E305" t="s">
        <v>28</v>
      </c>
      <c r="F305" s="3">
        <v>45865</v>
      </c>
      <c r="G305" s="1">
        <f>YEAR(Patient_data[[#This Row],[Appointment_Date]])</f>
        <v>2025</v>
      </c>
      <c r="H305" s="2" t="str">
        <f>TEXT(Patient_data[[#This Row],[Appointment_Date]],"mmmm")</f>
        <v>July</v>
      </c>
      <c r="I305" s="3" t="str">
        <f>TEXT(Patient_data[[#This Row],[Appointment_Date]],"mmm-yyyy")</f>
        <v>Jul-2025</v>
      </c>
      <c r="J305" s="3">
        <v>45855</v>
      </c>
      <c r="K305" t="s">
        <v>630</v>
      </c>
      <c r="L305" t="s">
        <v>43</v>
      </c>
      <c r="M305" s="4">
        <v>82.67</v>
      </c>
      <c r="N305" t="s">
        <v>20</v>
      </c>
      <c r="O305">
        <f>Patient_data[[#This Row],[Appointment_Date]]-Patient_data[[#This Row],[Booking_Date]]</f>
        <v>10</v>
      </c>
    </row>
    <row r="306" spans="1:15" x14ac:dyDescent="0.25">
      <c r="A306">
        <v>1031</v>
      </c>
      <c r="B306">
        <v>65</v>
      </c>
      <c r="C306" t="s">
        <v>378</v>
      </c>
      <c r="D306" t="s">
        <v>631</v>
      </c>
      <c r="E306" t="s">
        <v>28</v>
      </c>
      <c r="F306" s="3">
        <v>45816</v>
      </c>
      <c r="G306" s="1">
        <f>YEAR(Patient_data[[#This Row],[Appointment_Date]])</f>
        <v>2025</v>
      </c>
      <c r="H306" s="2" t="str">
        <f>TEXT(Patient_data[[#This Row],[Appointment_Date]],"mmmm")</f>
        <v>June</v>
      </c>
      <c r="I306" s="3" t="str">
        <f>TEXT(Patient_data[[#This Row],[Appointment_Date]],"mmm-yyyy")</f>
        <v>Jun-2025</v>
      </c>
      <c r="J306" s="3">
        <v>45671</v>
      </c>
      <c r="K306" t="s">
        <v>632</v>
      </c>
      <c r="L306" t="s">
        <v>23</v>
      </c>
      <c r="M306" s="4">
        <v>25.25</v>
      </c>
      <c r="N306" t="s">
        <v>20</v>
      </c>
      <c r="O306">
        <f>Patient_data[[#This Row],[Appointment_Date]]-Patient_data[[#This Row],[Booking_Date]]</f>
        <v>145</v>
      </c>
    </row>
    <row r="307" spans="1:15" x14ac:dyDescent="0.25">
      <c r="A307">
        <v>1049</v>
      </c>
      <c r="B307">
        <v>65</v>
      </c>
      <c r="C307" t="s">
        <v>378</v>
      </c>
      <c r="D307" t="s">
        <v>633</v>
      </c>
      <c r="E307" t="s">
        <v>17</v>
      </c>
      <c r="F307" s="3">
        <v>46032</v>
      </c>
      <c r="G307" s="1">
        <f>YEAR(Patient_data[[#This Row],[Appointment_Date]])</f>
        <v>2026</v>
      </c>
      <c r="H307" s="2" t="str">
        <f>TEXT(Patient_data[[#This Row],[Appointment_Date]],"mmmm")</f>
        <v>January</v>
      </c>
      <c r="I307" s="3" t="str">
        <f>TEXT(Patient_data[[#This Row],[Appointment_Date]],"mmm-yyyy")</f>
        <v>Jan-2026</v>
      </c>
      <c r="J307" s="3">
        <v>46028</v>
      </c>
      <c r="K307" t="s">
        <v>634</v>
      </c>
      <c r="L307" t="s">
        <v>23</v>
      </c>
      <c r="M307" s="4">
        <v>89</v>
      </c>
      <c r="N307" t="s">
        <v>24</v>
      </c>
      <c r="O307">
        <f>Patient_data[[#This Row],[Appointment_Date]]-Patient_data[[#This Row],[Booking_Date]]</f>
        <v>4</v>
      </c>
    </row>
    <row r="308" spans="1:15" x14ac:dyDescent="0.25">
      <c r="A308">
        <v>1041</v>
      </c>
      <c r="B308">
        <v>65</v>
      </c>
      <c r="C308" t="s">
        <v>378</v>
      </c>
      <c r="D308" t="s">
        <v>635</v>
      </c>
      <c r="E308" t="s">
        <v>28</v>
      </c>
      <c r="F308" s="3">
        <v>45958</v>
      </c>
      <c r="G308" s="1">
        <f>YEAR(Patient_data[[#This Row],[Appointment_Date]])</f>
        <v>2025</v>
      </c>
      <c r="H308" s="2" t="str">
        <f>TEXT(Patient_data[[#This Row],[Appointment_Date]],"mmmm")</f>
        <v>October</v>
      </c>
      <c r="I308" s="3" t="str">
        <f>TEXT(Patient_data[[#This Row],[Appointment_Date]],"mmm-yyyy")</f>
        <v>Oct-2025</v>
      </c>
      <c r="J308" s="3">
        <v>45887</v>
      </c>
      <c r="K308" t="s">
        <v>636</v>
      </c>
      <c r="L308" t="s">
        <v>19</v>
      </c>
      <c r="M308" s="4">
        <v>3.42</v>
      </c>
      <c r="N308" t="s">
        <v>20</v>
      </c>
      <c r="O308">
        <f>Patient_data[[#This Row],[Appointment_Date]]-Patient_data[[#This Row],[Booking_Date]]</f>
        <v>71</v>
      </c>
    </row>
    <row r="309" spans="1:15" x14ac:dyDescent="0.25">
      <c r="A309">
        <v>1049</v>
      </c>
      <c r="B309">
        <v>65</v>
      </c>
      <c r="C309" t="s">
        <v>378</v>
      </c>
      <c r="D309" t="s">
        <v>637</v>
      </c>
      <c r="E309" t="s">
        <v>28</v>
      </c>
      <c r="F309" s="3">
        <v>46070</v>
      </c>
      <c r="G309" s="1">
        <f>YEAR(Patient_data[[#This Row],[Appointment_Date]])</f>
        <v>2026</v>
      </c>
      <c r="H309" s="2" t="str">
        <f>TEXT(Patient_data[[#This Row],[Appointment_Date]],"mmmm")</f>
        <v>February</v>
      </c>
      <c r="I309" s="3" t="str">
        <f>TEXT(Patient_data[[#This Row],[Appointment_Date]],"mmm-yyyy")</f>
        <v>Feb-2026</v>
      </c>
      <c r="J309" s="3">
        <v>45443</v>
      </c>
      <c r="K309" t="s">
        <v>638</v>
      </c>
      <c r="L309" t="s">
        <v>30</v>
      </c>
      <c r="M309" s="4">
        <v>5.16</v>
      </c>
      <c r="N309" t="s">
        <v>24</v>
      </c>
      <c r="O309">
        <f>Patient_data[[#This Row],[Appointment_Date]]-Patient_data[[#This Row],[Booking_Date]]</f>
        <v>627</v>
      </c>
    </row>
    <row r="310" spans="1:15" x14ac:dyDescent="0.25">
      <c r="A310">
        <v>1004</v>
      </c>
      <c r="B310">
        <v>65</v>
      </c>
      <c r="C310" t="s">
        <v>378</v>
      </c>
      <c r="D310" t="s">
        <v>639</v>
      </c>
      <c r="E310" t="s">
        <v>17</v>
      </c>
      <c r="F310" s="3">
        <v>45881</v>
      </c>
      <c r="G310" s="1">
        <f>YEAR(Patient_data[[#This Row],[Appointment_Date]])</f>
        <v>2025</v>
      </c>
      <c r="H310" s="2" t="str">
        <f>TEXT(Patient_data[[#This Row],[Appointment_Date]],"mmmm")</f>
        <v>August</v>
      </c>
      <c r="I310" s="3" t="str">
        <f>TEXT(Patient_data[[#This Row],[Appointment_Date]],"mmm-yyyy")</f>
        <v>Aug-2025</v>
      </c>
      <c r="J310" s="3">
        <v>45653</v>
      </c>
      <c r="K310" t="s">
        <v>640</v>
      </c>
      <c r="L310" t="s">
        <v>30</v>
      </c>
      <c r="M310" s="4">
        <v>88.72</v>
      </c>
      <c r="N310" t="s">
        <v>24</v>
      </c>
      <c r="O310">
        <f>Patient_data[[#This Row],[Appointment_Date]]-Patient_data[[#This Row],[Booking_Date]]</f>
        <v>228</v>
      </c>
    </row>
    <row r="311" spans="1:15" x14ac:dyDescent="0.25">
      <c r="A311">
        <v>1020</v>
      </c>
      <c r="B311">
        <v>65</v>
      </c>
      <c r="C311" t="s">
        <v>378</v>
      </c>
      <c r="D311" t="s">
        <v>641</v>
      </c>
      <c r="E311" t="s">
        <v>28</v>
      </c>
      <c r="F311" s="3">
        <v>46046</v>
      </c>
      <c r="G311" s="1">
        <f>YEAR(Patient_data[[#This Row],[Appointment_Date]])</f>
        <v>2026</v>
      </c>
      <c r="H311" s="2" t="str">
        <f>TEXT(Patient_data[[#This Row],[Appointment_Date]],"mmmm")</f>
        <v>January</v>
      </c>
      <c r="I311" s="3" t="str">
        <f>TEXT(Patient_data[[#This Row],[Appointment_Date]],"mmm-yyyy")</f>
        <v>Jan-2026</v>
      </c>
      <c r="J311" s="3">
        <v>46026</v>
      </c>
      <c r="K311" t="s">
        <v>642</v>
      </c>
      <c r="L311" t="s">
        <v>30</v>
      </c>
      <c r="M311" s="4">
        <v>82.77</v>
      </c>
      <c r="N311" t="s">
        <v>20</v>
      </c>
      <c r="O311">
        <f>Patient_data[[#This Row],[Appointment_Date]]-Patient_data[[#This Row],[Booking_Date]]</f>
        <v>20</v>
      </c>
    </row>
    <row r="312" spans="1:15" x14ac:dyDescent="0.25">
      <c r="A312">
        <v>1061</v>
      </c>
      <c r="B312">
        <v>65</v>
      </c>
      <c r="C312" t="s">
        <v>378</v>
      </c>
      <c r="D312" t="s">
        <v>643</v>
      </c>
      <c r="E312" t="s">
        <v>17</v>
      </c>
      <c r="F312" s="3">
        <v>45970</v>
      </c>
      <c r="G312" s="1">
        <f>YEAR(Patient_data[[#This Row],[Appointment_Date]])</f>
        <v>2025</v>
      </c>
      <c r="H312" s="2" t="str">
        <f>TEXT(Patient_data[[#This Row],[Appointment_Date]],"mmmm")</f>
        <v>November</v>
      </c>
      <c r="I312" s="3" t="str">
        <f>TEXT(Patient_data[[#This Row],[Appointment_Date]],"mmm-yyyy")</f>
        <v>Nov-2025</v>
      </c>
      <c r="J312" s="3">
        <v>45612</v>
      </c>
      <c r="K312" t="s">
        <v>644</v>
      </c>
      <c r="L312" t="s">
        <v>19</v>
      </c>
      <c r="M312" s="4">
        <v>78.58</v>
      </c>
      <c r="N312" t="s">
        <v>20</v>
      </c>
      <c r="O312">
        <f>Patient_data[[#This Row],[Appointment_Date]]-Patient_data[[#This Row],[Booking_Date]]</f>
        <v>358</v>
      </c>
    </row>
    <row r="313" spans="1:15" x14ac:dyDescent="0.25">
      <c r="A313">
        <v>1066</v>
      </c>
      <c r="B313">
        <v>65</v>
      </c>
      <c r="C313" t="s">
        <v>378</v>
      </c>
      <c r="D313" t="s">
        <v>645</v>
      </c>
      <c r="E313" t="s">
        <v>17</v>
      </c>
      <c r="F313" s="3">
        <v>45879</v>
      </c>
      <c r="G313" s="1">
        <f>YEAR(Patient_data[[#This Row],[Appointment_Date]])</f>
        <v>2025</v>
      </c>
      <c r="H313" s="2" t="str">
        <f>TEXT(Patient_data[[#This Row],[Appointment_Date]],"mmmm")</f>
        <v>August</v>
      </c>
      <c r="I313" s="3" t="str">
        <f>TEXT(Patient_data[[#This Row],[Appointment_Date]],"mmm-yyyy")</f>
        <v>Aug-2025</v>
      </c>
      <c r="J313" s="3">
        <v>45663</v>
      </c>
      <c r="K313" t="s">
        <v>646</v>
      </c>
      <c r="L313" t="s">
        <v>43</v>
      </c>
      <c r="M313" s="4">
        <v>113.2</v>
      </c>
      <c r="N313" t="s">
        <v>24</v>
      </c>
      <c r="O313">
        <f>Patient_data[[#This Row],[Appointment_Date]]-Patient_data[[#This Row],[Booking_Date]]</f>
        <v>216</v>
      </c>
    </row>
    <row r="314" spans="1:15" x14ac:dyDescent="0.25">
      <c r="A314">
        <v>1050</v>
      </c>
      <c r="B314">
        <v>65</v>
      </c>
      <c r="C314" t="s">
        <v>378</v>
      </c>
      <c r="D314" t="s">
        <v>647</v>
      </c>
      <c r="E314" t="s">
        <v>17</v>
      </c>
      <c r="F314" s="3">
        <v>46085</v>
      </c>
      <c r="G314" s="1">
        <f>YEAR(Patient_data[[#This Row],[Appointment_Date]])</f>
        <v>2026</v>
      </c>
      <c r="H314" s="2" t="str">
        <f>TEXT(Patient_data[[#This Row],[Appointment_Date]],"mmmm")</f>
        <v>March</v>
      </c>
      <c r="I314" s="3" t="str">
        <f>TEXT(Patient_data[[#This Row],[Appointment_Date]],"mmm-yyyy")</f>
        <v>Mar-2026</v>
      </c>
      <c r="J314" s="3">
        <v>45444</v>
      </c>
      <c r="K314" t="s">
        <v>648</v>
      </c>
      <c r="L314" t="s">
        <v>23</v>
      </c>
      <c r="M314" s="4">
        <v>126.44</v>
      </c>
      <c r="N314" t="s">
        <v>24</v>
      </c>
      <c r="O314">
        <f>Patient_data[[#This Row],[Appointment_Date]]-Patient_data[[#This Row],[Booking_Date]]</f>
        <v>641</v>
      </c>
    </row>
    <row r="315" spans="1:15" x14ac:dyDescent="0.25">
      <c r="A315">
        <v>1011</v>
      </c>
      <c r="B315">
        <v>65</v>
      </c>
      <c r="C315" t="s">
        <v>378</v>
      </c>
      <c r="D315" t="s">
        <v>649</v>
      </c>
      <c r="E315" t="s">
        <v>28</v>
      </c>
      <c r="F315" s="3">
        <v>45923</v>
      </c>
      <c r="G315" s="1">
        <f>YEAR(Patient_data[[#This Row],[Appointment_Date]])</f>
        <v>2025</v>
      </c>
      <c r="H315" s="2" t="str">
        <f>TEXT(Patient_data[[#This Row],[Appointment_Date]],"mmmm")</f>
        <v>September</v>
      </c>
      <c r="I315" s="3" t="str">
        <f>TEXT(Patient_data[[#This Row],[Appointment_Date]],"mmm-yyyy")</f>
        <v>Sep-2025</v>
      </c>
      <c r="J315" s="3">
        <v>45383</v>
      </c>
      <c r="K315" t="s">
        <v>71</v>
      </c>
      <c r="L315" t="s">
        <v>43</v>
      </c>
      <c r="M315" s="4">
        <v>230.11</v>
      </c>
      <c r="N315" t="s">
        <v>24</v>
      </c>
      <c r="O315">
        <f>Patient_data[[#This Row],[Appointment_Date]]-Patient_data[[#This Row],[Booking_Date]]</f>
        <v>540</v>
      </c>
    </row>
    <row r="316" spans="1:15" x14ac:dyDescent="0.25">
      <c r="A316">
        <v>1045</v>
      </c>
      <c r="B316">
        <v>65</v>
      </c>
      <c r="C316" t="s">
        <v>378</v>
      </c>
      <c r="D316" t="s">
        <v>650</v>
      </c>
      <c r="E316" t="s">
        <v>28</v>
      </c>
      <c r="F316" s="3">
        <v>45744</v>
      </c>
      <c r="G316" s="1">
        <f>YEAR(Patient_data[[#This Row],[Appointment_Date]])</f>
        <v>2025</v>
      </c>
      <c r="H316" s="2" t="str">
        <f>TEXT(Patient_data[[#This Row],[Appointment_Date]],"mmmm")</f>
        <v>March</v>
      </c>
      <c r="I316" s="3" t="str">
        <f>TEXT(Patient_data[[#This Row],[Appointment_Date]],"mmm-yyyy")</f>
        <v>Mar-2025</v>
      </c>
      <c r="J316" s="3">
        <v>45661</v>
      </c>
      <c r="K316" t="s">
        <v>651</v>
      </c>
      <c r="L316" t="s">
        <v>43</v>
      </c>
      <c r="M316" s="4">
        <v>4.67</v>
      </c>
      <c r="N316" t="s">
        <v>20</v>
      </c>
      <c r="O316">
        <f>Patient_data[[#This Row],[Appointment_Date]]-Patient_data[[#This Row],[Booking_Date]]</f>
        <v>83</v>
      </c>
    </row>
    <row r="317" spans="1:15" x14ac:dyDescent="0.25">
      <c r="A317">
        <v>1088</v>
      </c>
      <c r="B317">
        <v>65</v>
      </c>
      <c r="C317" t="s">
        <v>378</v>
      </c>
      <c r="D317" t="s">
        <v>652</v>
      </c>
      <c r="E317" t="s">
        <v>17</v>
      </c>
      <c r="F317" s="3">
        <v>45861</v>
      </c>
      <c r="G317" s="1">
        <f>YEAR(Patient_data[[#This Row],[Appointment_Date]])</f>
        <v>2025</v>
      </c>
      <c r="H317" s="2" t="str">
        <f>TEXT(Patient_data[[#This Row],[Appointment_Date]],"mmmm")</f>
        <v>July</v>
      </c>
      <c r="I317" s="3" t="str">
        <f>TEXT(Patient_data[[#This Row],[Appointment_Date]],"mmm-yyyy")</f>
        <v>Jul-2025</v>
      </c>
      <c r="J317" s="3">
        <v>45692</v>
      </c>
      <c r="K317" t="s">
        <v>653</v>
      </c>
      <c r="L317" t="s">
        <v>19</v>
      </c>
      <c r="M317" s="4">
        <v>59.06</v>
      </c>
      <c r="N317" t="s">
        <v>24</v>
      </c>
      <c r="O317">
        <f>Patient_data[[#This Row],[Appointment_Date]]-Patient_data[[#This Row],[Booking_Date]]</f>
        <v>169</v>
      </c>
    </row>
    <row r="318" spans="1:15" x14ac:dyDescent="0.25">
      <c r="A318">
        <v>1059</v>
      </c>
      <c r="B318">
        <v>65</v>
      </c>
      <c r="C318" t="s">
        <v>378</v>
      </c>
      <c r="D318" t="s">
        <v>654</v>
      </c>
      <c r="E318" t="s">
        <v>28</v>
      </c>
      <c r="F318" s="3">
        <v>45862</v>
      </c>
      <c r="G318" s="1">
        <f>YEAR(Patient_data[[#This Row],[Appointment_Date]])</f>
        <v>2025</v>
      </c>
      <c r="H318" s="2" t="str">
        <f>TEXT(Patient_data[[#This Row],[Appointment_Date]],"mmmm")</f>
        <v>July</v>
      </c>
      <c r="I318" s="3" t="str">
        <f>TEXT(Patient_data[[#This Row],[Appointment_Date]],"mmm-yyyy")</f>
        <v>Jul-2025</v>
      </c>
      <c r="J318" s="3">
        <v>45808</v>
      </c>
      <c r="K318" t="s">
        <v>655</v>
      </c>
      <c r="L318" t="s">
        <v>19</v>
      </c>
      <c r="M318" s="4">
        <v>84.42</v>
      </c>
      <c r="N318" t="s">
        <v>20</v>
      </c>
      <c r="O318">
        <f>Patient_data[[#This Row],[Appointment_Date]]-Patient_data[[#This Row],[Booking_Date]]</f>
        <v>54</v>
      </c>
    </row>
    <row r="319" spans="1:15" x14ac:dyDescent="0.25">
      <c r="A319">
        <v>1001</v>
      </c>
      <c r="B319">
        <v>64</v>
      </c>
      <c r="C319" t="s">
        <v>378</v>
      </c>
      <c r="D319" t="s">
        <v>656</v>
      </c>
      <c r="E319" t="s">
        <v>28</v>
      </c>
      <c r="F319" s="3">
        <v>45867</v>
      </c>
      <c r="G319" s="1">
        <f>YEAR(Patient_data[[#This Row],[Appointment_Date]])</f>
        <v>2025</v>
      </c>
      <c r="H319" s="2" t="str">
        <f>TEXT(Patient_data[[#This Row],[Appointment_Date]],"mmmm")</f>
        <v>July</v>
      </c>
      <c r="I319" s="3" t="str">
        <f>TEXT(Patient_data[[#This Row],[Appointment_Date]],"mmm-yyyy")</f>
        <v>Jul-2025</v>
      </c>
      <c r="J319" s="3">
        <v>45451</v>
      </c>
      <c r="K319" t="s">
        <v>657</v>
      </c>
      <c r="L319" t="s">
        <v>43</v>
      </c>
      <c r="M319" s="4">
        <v>14.44</v>
      </c>
      <c r="N319" t="s">
        <v>20</v>
      </c>
      <c r="O319">
        <f>Patient_data[[#This Row],[Appointment_Date]]-Patient_data[[#This Row],[Booking_Date]]</f>
        <v>416</v>
      </c>
    </row>
    <row r="320" spans="1:15" x14ac:dyDescent="0.25">
      <c r="A320">
        <v>1005</v>
      </c>
      <c r="B320">
        <v>64</v>
      </c>
      <c r="C320" t="s">
        <v>378</v>
      </c>
      <c r="D320" t="s">
        <v>658</v>
      </c>
      <c r="E320" t="s">
        <v>28</v>
      </c>
      <c r="F320" s="3">
        <v>45915</v>
      </c>
      <c r="G320" s="1">
        <f>YEAR(Patient_data[[#This Row],[Appointment_Date]])</f>
        <v>2025</v>
      </c>
      <c r="H320" s="2" t="str">
        <f>TEXT(Patient_data[[#This Row],[Appointment_Date]],"mmmm")</f>
        <v>September</v>
      </c>
      <c r="I320" s="3" t="str">
        <f>TEXT(Patient_data[[#This Row],[Appointment_Date]],"mmm-yyyy")</f>
        <v>Sep-2025</v>
      </c>
      <c r="J320" s="3">
        <v>45676</v>
      </c>
      <c r="K320" t="s">
        <v>659</v>
      </c>
      <c r="L320" t="s">
        <v>19</v>
      </c>
      <c r="M320" s="4">
        <v>12.28</v>
      </c>
      <c r="N320" t="s">
        <v>20</v>
      </c>
      <c r="O320">
        <f>Patient_data[[#This Row],[Appointment_Date]]-Patient_data[[#This Row],[Booking_Date]]</f>
        <v>239</v>
      </c>
    </row>
    <row r="321" spans="1:15" x14ac:dyDescent="0.25">
      <c r="A321">
        <v>1084</v>
      </c>
      <c r="B321">
        <v>64</v>
      </c>
      <c r="C321" t="s">
        <v>378</v>
      </c>
      <c r="D321" t="s">
        <v>660</v>
      </c>
      <c r="E321" t="s">
        <v>17</v>
      </c>
      <c r="F321" s="3">
        <v>46022</v>
      </c>
      <c r="G321" s="1">
        <f>YEAR(Patient_data[[#This Row],[Appointment_Date]])</f>
        <v>2025</v>
      </c>
      <c r="H321" s="2" t="str">
        <f>TEXT(Patient_data[[#This Row],[Appointment_Date]],"mmmm")</f>
        <v>December</v>
      </c>
      <c r="I321" s="3" t="str">
        <f>TEXT(Patient_data[[#This Row],[Appointment_Date]],"mmm-yyyy")</f>
        <v>Dec-2025</v>
      </c>
      <c r="J321" s="3">
        <v>45766</v>
      </c>
      <c r="K321" t="s">
        <v>661</v>
      </c>
      <c r="L321" t="s">
        <v>43</v>
      </c>
      <c r="M321" s="4">
        <v>154.03</v>
      </c>
      <c r="N321" t="s">
        <v>24</v>
      </c>
      <c r="O321">
        <f>Patient_data[[#This Row],[Appointment_Date]]-Patient_data[[#This Row],[Booking_Date]]</f>
        <v>256</v>
      </c>
    </row>
    <row r="322" spans="1:15" x14ac:dyDescent="0.25">
      <c r="A322">
        <v>1074</v>
      </c>
      <c r="B322">
        <v>64</v>
      </c>
      <c r="C322" t="s">
        <v>378</v>
      </c>
      <c r="D322" t="s">
        <v>662</v>
      </c>
      <c r="E322" t="s">
        <v>17</v>
      </c>
      <c r="F322" s="3">
        <v>45832</v>
      </c>
      <c r="G322" s="1">
        <f>YEAR(Patient_data[[#This Row],[Appointment_Date]])</f>
        <v>2025</v>
      </c>
      <c r="H322" s="2" t="str">
        <f>TEXT(Patient_data[[#This Row],[Appointment_Date]],"mmmm")</f>
        <v>June</v>
      </c>
      <c r="I322" s="3" t="str">
        <f>TEXT(Patient_data[[#This Row],[Appointment_Date]],"mmm-yyyy")</f>
        <v>Jun-2025</v>
      </c>
      <c r="J322" s="3">
        <v>45571</v>
      </c>
      <c r="K322" t="s">
        <v>663</v>
      </c>
      <c r="L322" t="s">
        <v>23</v>
      </c>
      <c r="M322" s="4">
        <v>86.37</v>
      </c>
      <c r="N322" t="s">
        <v>20</v>
      </c>
      <c r="O322">
        <f>Patient_data[[#This Row],[Appointment_Date]]-Patient_data[[#This Row],[Booking_Date]]</f>
        <v>261</v>
      </c>
    </row>
    <row r="323" spans="1:15" x14ac:dyDescent="0.25">
      <c r="A323">
        <v>1003</v>
      </c>
      <c r="B323">
        <v>64</v>
      </c>
      <c r="C323" t="s">
        <v>378</v>
      </c>
      <c r="D323" t="s">
        <v>664</v>
      </c>
      <c r="E323" t="s">
        <v>28</v>
      </c>
      <c r="F323" s="3">
        <v>46046</v>
      </c>
      <c r="G323" s="1">
        <f>YEAR(Patient_data[[#This Row],[Appointment_Date]])</f>
        <v>2026</v>
      </c>
      <c r="H323" s="2" t="str">
        <f>TEXT(Patient_data[[#This Row],[Appointment_Date]],"mmmm")</f>
        <v>January</v>
      </c>
      <c r="I323" s="3" t="str">
        <f>TEXT(Patient_data[[#This Row],[Appointment_Date]],"mmm-yyyy")</f>
        <v>Jan-2026</v>
      </c>
      <c r="J323" s="3">
        <v>45696</v>
      </c>
      <c r="K323" t="s">
        <v>665</v>
      </c>
      <c r="L323" t="s">
        <v>30</v>
      </c>
      <c r="M323" s="4">
        <v>79.59</v>
      </c>
      <c r="N323" t="s">
        <v>20</v>
      </c>
      <c r="O323">
        <f>Patient_data[[#This Row],[Appointment_Date]]-Patient_data[[#This Row],[Booking_Date]]</f>
        <v>350</v>
      </c>
    </row>
    <row r="324" spans="1:15" x14ac:dyDescent="0.25">
      <c r="A324">
        <v>1009</v>
      </c>
      <c r="B324">
        <v>64</v>
      </c>
      <c r="C324" t="s">
        <v>378</v>
      </c>
      <c r="D324" t="s">
        <v>666</v>
      </c>
      <c r="E324" t="s">
        <v>17</v>
      </c>
      <c r="F324" s="3">
        <v>45869</v>
      </c>
      <c r="G324" s="1">
        <f>YEAR(Patient_data[[#This Row],[Appointment_Date]])</f>
        <v>2025</v>
      </c>
      <c r="H324" s="2" t="str">
        <f>TEXT(Patient_data[[#This Row],[Appointment_Date]],"mmmm")</f>
        <v>July</v>
      </c>
      <c r="I324" s="3" t="str">
        <f>TEXT(Patient_data[[#This Row],[Appointment_Date]],"mmm-yyyy")</f>
        <v>Jul-2025</v>
      </c>
      <c r="J324" s="3">
        <v>45527</v>
      </c>
      <c r="K324" t="s">
        <v>667</v>
      </c>
      <c r="L324" t="s">
        <v>19</v>
      </c>
      <c r="M324" s="4">
        <v>53.8</v>
      </c>
      <c r="N324" t="s">
        <v>24</v>
      </c>
      <c r="O324">
        <f>Patient_data[[#This Row],[Appointment_Date]]-Patient_data[[#This Row],[Booking_Date]]</f>
        <v>342</v>
      </c>
    </row>
    <row r="325" spans="1:15" x14ac:dyDescent="0.25">
      <c r="A325">
        <v>1033</v>
      </c>
      <c r="B325">
        <v>64</v>
      </c>
      <c r="C325" t="s">
        <v>378</v>
      </c>
      <c r="D325" t="s">
        <v>668</v>
      </c>
      <c r="E325" t="s">
        <v>28</v>
      </c>
      <c r="F325" s="3">
        <v>45916</v>
      </c>
      <c r="G325" s="1">
        <f>YEAR(Patient_data[[#This Row],[Appointment_Date]])</f>
        <v>2025</v>
      </c>
      <c r="H325" s="2" t="str">
        <f>TEXT(Patient_data[[#This Row],[Appointment_Date]],"mmmm")</f>
        <v>September</v>
      </c>
      <c r="I325" s="3" t="str">
        <f>TEXT(Patient_data[[#This Row],[Appointment_Date]],"mmm-yyyy")</f>
        <v>Sep-2025</v>
      </c>
      <c r="J325" s="3">
        <v>45680</v>
      </c>
      <c r="K325" t="s">
        <v>669</v>
      </c>
      <c r="L325" t="s">
        <v>23</v>
      </c>
      <c r="M325" s="4">
        <v>91.36</v>
      </c>
      <c r="N325" t="s">
        <v>24</v>
      </c>
      <c r="O325">
        <f>Patient_data[[#This Row],[Appointment_Date]]-Patient_data[[#This Row],[Booking_Date]]</f>
        <v>236</v>
      </c>
    </row>
    <row r="326" spans="1:15" x14ac:dyDescent="0.25">
      <c r="A326">
        <v>1074</v>
      </c>
      <c r="B326">
        <v>64</v>
      </c>
      <c r="C326" t="s">
        <v>378</v>
      </c>
      <c r="D326" t="s">
        <v>670</v>
      </c>
      <c r="E326" t="s">
        <v>17</v>
      </c>
      <c r="F326" s="3">
        <v>46095</v>
      </c>
      <c r="G326" s="1">
        <f>YEAR(Patient_data[[#This Row],[Appointment_Date]])</f>
        <v>2026</v>
      </c>
      <c r="H326" s="2" t="str">
        <f>TEXT(Patient_data[[#This Row],[Appointment_Date]],"mmmm")</f>
        <v>March</v>
      </c>
      <c r="I326" s="3" t="str">
        <f>TEXT(Patient_data[[#This Row],[Appointment_Date]],"mmm-yyyy")</f>
        <v>Mar-2026</v>
      </c>
      <c r="J326" s="3">
        <v>46063</v>
      </c>
      <c r="K326" t="s">
        <v>671</v>
      </c>
      <c r="L326" t="s">
        <v>19</v>
      </c>
      <c r="M326" s="4">
        <v>77.849999999999994</v>
      </c>
      <c r="N326" t="s">
        <v>24</v>
      </c>
      <c r="O326">
        <f>Patient_data[[#This Row],[Appointment_Date]]-Patient_data[[#This Row],[Booking_Date]]</f>
        <v>32</v>
      </c>
    </row>
    <row r="327" spans="1:15" x14ac:dyDescent="0.25">
      <c r="A327">
        <v>1079</v>
      </c>
      <c r="B327">
        <v>64</v>
      </c>
      <c r="C327" t="s">
        <v>378</v>
      </c>
      <c r="D327" t="s">
        <v>672</v>
      </c>
      <c r="E327" t="s">
        <v>28</v>
      </c>
      <c r="F327" s="3">
        <v>45871</v>
      </c>
      <c r="G327" s="1">
        <f>YEAR(Patient_data[[#This Row],[Appointment_Date]])</f>
        <v>2025</v>
      </c>
      <c r="H327" s="2" t="str">
        <f>TEXT(Patient_data[[#This Row],[Appointment_Date]],"mmmm")</f>
        <v>August</v>
      </c>
      <c r="I327" s="3" t="str">
        <f>TEXT(Patient_data[[#This Row],[Appointment_Date]],"mmm-yyyy")</f>
        <v>Aug-2025</v>
      </c>
      <c r="J327" s="3">
        <v>45808</v>
      </c>
      <c r="K327" t="s">
        <v>673</v>
      </c>
      <c r="L327" t="s">
        <v>19</v>
      </c>
      <c r="M327" s="4">
        <v>10.8</v>
      </c>
      <c r="N327" t="s">
        <v>24</v>
      </c>
      <c r="O327">
        <f>Patient_data[[#This Row],[Appointment_Date]]-Patient_data[[#This Row],[Booking_Date]]</f>
        <v>63</v>
      </c>
    </row>
    <row r="328" spans="1:15" x14ac:dyDescent="0.25">
      <c r="A328">
        <v>1058</v>
      </c>
      <c r="B328">
        <v>64</v>
      </c>
      <c r="C328" t="s">
        <v>378</v>
      </c>
      <c r="D328" t="s">
        <v>674</v>
      </c>
      <c r="E328" t="s">
        <v>17</v>
      </c>
      <c r="F328" s="3">
        <v>45761</v>
      </c>
      <c r="G328" s="1">
        <f>YEAR(Patient_data[[#This Row],[Appointment_Date]])</f>
        <v>2025</v>
      </c>
      <c r="H328" s="2" t="str">
        <f>TEXT(Patient_data[[#This Row],[Appointment_Date]],"mmmm")</f>
        <v>April</v>
      </c>
      <c r="I328" s="3" t="str">
        <f>TEXT(Patient_data[[#This Row],[Appointment_Date]],"mmm-yyyy")</f>
        <v>Apr-2025</v>
      </c>
      <c r="J328" s="3">
        <v>45692</v>
      </c>
      <c r="K328" t="s">
        <v>675</v>
      </c>
      <c r="L328" t="s">
        <v>19</v>
      </c>
      <c r="M328" s="4">
        <v>246.05</v>
      </c>
      <c r="N328" t="s">
        <v>24</v>
      </c>
      <c r="O328">
        <f>Patient_data[[#This Row],[Appointment_Date]]-Patient_data[[#This Row],[Booking_Date]]</f>
        <v>69</v>
      </c>
    </row>
    <row r="329" spans="1:15" x14ac:dyDescent="0.25">
      <c r="A329">
        <v>1046</v>
      </c>
      <c r="B329">
        <v>64</v>
      </c>
      <c r="C329" t="s">
        <v>378</v>
      </c>
      <c r="D329" t="s">
        <v>676</v>
      </c>
      <c r="E329" t="s">
        <v>28</v>
      </c>
      <c r="F329" s="3">
        <v>45808</v>
      </c>
      <c r="G329" s="1">
        <f>YEAR(Patient_data[[#This Row],[Appointment_Date]])</f>
        <v>2025</v>
      </c>
      <c r="H329" s="2" t="str">
        <f>TEXT(Patient_data[[#This Row],[Appointment_Date]],"mmmm")</f>
        <v>May</v>
      </c>
      <c r="I329" s="3" t="str">
        <f>TEXT(Patient_data[[#This Row],[Appointment_Date]],"mmm-yyyy")</f>
        <v>May-2025</v>
      </c>
      <c r="J329" s="3">
        <v>45525</v>
      </c>
      <c r="K329" t="s">
        <v>677</v>
      </c>
      <c r="L329" t="s">
        <v>43</v>
      </c>
      <c r="M329" s="4">
        <v>76.97</v>
      </c>
      <c r="N329" t="s">
        <v>20</v>
      </c>
      <c r="O329">
        <f>Patient_data[[#This Row],[Appointment_Date]]-Patient_data[[#This Row],[Booking_Date]]</f>
        <v>283</v>
      </c>
    </row>
    <row r="330" spans="1:15" x14ac:dyDescent="0.25">
      <c r="A330">
        <v>1051</v>
      </c>
      <c r="B330">
        <v>64</v>
      </c>
      <c r="C330" t="s">
        <v>378</v>
      </c>
      <c r="D330" t="s">
        <v>678</v>
      </c>
      <c r="E330" t="s">
        <v>28</v>
      </c>
      <c r="F330" s="3">
        <v>45755</v>
      </c>
      <c r="G330" s="1">
        <f>YEAR(Patient_data[[#This Row],[Appointment_Date]])</f>
        <v>2025</v>
      </c>
      <c r="H330" s="2" t="str">
        <f>TEXT(Patient_data[[#This Row],[Appointment_Date]],"mmmm")</f>
        <v>April</v>
      </c>
      <c r="I330" s="3" t="str">
        <f>TEXT(Patient_data[[#This Row],[Appointment_Date]],"mmm-yyyy")</f>
        <v>Apr-2025</v>
      </c>
      <c r="J330" s="3">
        <v>45496</v>
      </c>
      <c r="K330" t="s">
        <v>679</v>
      </c>
      <c r="L330" t="s">
        <v>30</v>
      </c>
      <c r="M330" s="4">
        <v>90.1</v>
      </c>
      <c r="N330" t="s">
        <v>20</v>
      </c>
      <c r="O330">
        <f>Patient_data[[#This Row],[Appointment_Date]]-Patient_data[[#This Row],[Booking_Date]]</f>
        <v>259</v>
      </c>
    </row>
    <row r="331" spans="1:15" x14ac:dyDescent="0.25">
      <c r="A331">
        <v>1043</v>
      </c>
      <c r="B331">
        <v>64</v>
      </c>
      <c r="C331" t="s">
        <v>378</v>
      </c>
      <c r="D331" t="s">
        <v>680</v>
      </c>
      <c r="E331" t="s">
        <v>17</v>
      </c>
      <c r="F331" s="3">
        <v>45956</v>
      </c>
      <c r="G331" s="1">
        <f>YEAR(Patient_data[[#This Row],[Appointment_Date]])</f>
        <v>2025</v>
      </c>
      <c r="H331" s="2" t="str">
        <f>TEXT(Patient_data[[#This Row],[Appointment_Date]],"mmmm")</f>
        <v>October</v>
      </c>
      <c r="I331" s="3" t="str">
        <f>TEXT(Patient_data[[#This Row],[Appointment_Date]],"mmm-yyyy")</f>
        <v>Oct-2025</v>
      </c>
      <c r="J331" s="3">
        <v>45427</v>
      </c>
      <c r="K331" t="s">
        <v>681</v>
      </c>
      <c r="L331" t="s">
        <v>19</v>
      </c>
      <c r="M331" s="4">
        <v>38.590000000000003</v>
      </c>
      <c r="N331" t="s">
        <v>24</v>
      </c>
      <c r="O331">
        <f>Patient_data[[#This Row],[Appointment_Date]]-Patient_data[[#This Row],[Booking_Date]]</f>
        <v>529</v>
      </c>
    </row>
    <row r="332" spans="1:15" x14ac:dyDescent="0.25">
      <c r="A332">
        <v>1082</v>
      </c>
      <c r="B332">
        <v>64</v>
      </c>
      <c r="C332" t="s">
        <v>378</v>
      </c>
      <c r="D332" t="s">
        <v>682</v>
      </c>
      <c r="E332" t="s">
        <v>28</v>
      </c>
      <c r="F332" s="3">
        <v>45914</v>
      </c>
      <c r="G332" s="1">
        <f>YEAR(Patient_data[[#This Row],[Appointment_Date]])</f>
        <v>2025</v>
      </c>
      <c r="H332" s="2" t="str">
        <f>TEXT(Patient_data[[#This Row],[Appointment_Date]],"mmmm")</f>
        <v>September</v>
      </c>
      <c r="I332" s="3" t="str">
        <f>TEXT(Patient_data[[#This Row],[Appointment_Date]],"mmm-yyyy")</f>
        <v>Sep-2025</v>
      </c>
      <c r="J332" s="3">
        <v>45488</v>
      </c>
      <c r="K332" t="s">
        <v>683</v>
      </c>
      <c r="L332" t="s">
        <v>23</v>
      </c>
      <c r="M332" s="4">
        <v>200.43</v>
      </c>
      <c r="N332" t="s">
        <v>24</v>
      </c>
      <c r="O332">
        <f>Patient_data[[#This Row],[Appointment_Date]]-Patient_data[[#This Row],[Booking_Date]]</f>
        <v>426</v>
      </c>
    </row>
    <row r="333" spans="1:15" x14ac:dyDescent="0.25">
      <c r="A333">
        <v>1068</v>
      </c>
      <c r="B333">
        <v>63</v>
      </c>
      <c r="C333" t="s">
        <v>378</v>
      </c>
      <c r="D333" t="s">
        <v>684</v>
      </c>
      <c r="E333" t="s">
        <v>28</v>
      </c>
      <c r="F333" s="3">
        <v>45970</v>
      </c>
      <c r="G333" s="1">
        <f>YEAR(Patient_data[[#This Row],[Appointment_Date]])</f>
        <v>2025</v>
      </c>
      <c r="H333" s="2" t="str">
        <f>TEXT(Patient_data[[#This Row],[Appointment_Date]],"mmmm")</f>
        <v>November</v>
      </c>
      <c r="I333" s="3" t="str">
        <f>TEXT(Patient_data[[#This Row],[Appointment_Date]],"mmm-yyyy")</f>
        <v>Nov-2025</v>
      </c>
      <c r="J333" s="3">
        <v>45910</v>
      </c>
      <c r="K333" t="s">
        <v>685</v>
      </c>
      <c r="L333" t="s">
        <v>43</v>
      </c>
      <c r="M333" s="4">
        <v>69.25</v>
      </c>
      <c r="N333" t="s">
        <v>24</v>
      </c>
      <c r="O333">
        <f>Patient_data[[#This Row],[Appointment_Date]]-Patient_data[[#This Row],[Booking_Date]]</f>
        <v>60</v>
      </c>
    </row>
    <row r="334" spans="1:15" x14ac:dyDescent="0.25">
      <c r="A334">
        <v>1009</v>
      </c>
      <c r="B334">
        <v>63</v>
      </c>
      <c r="C334" t="s">
        <v>378</v>
      </c>
      <c r="D334" t="s">
        <v>686</v>
      </c>
      <c r="E334" t="s">
        <v>17</v>
      </c>
      <c r="F334" s="3">
        <v>45877</v>
      </c>
      <c r="G334" s="1">
        <f>YEAR(Patient_data[[#This Row],[Appointment_Date]])</f>
        <v>2025</v>
      </c>
      <c r="H334" s="2" t="str">
        <f>TEXT(Patient_data[[#This Row],[Appointment_Date]],"mmmm")</f>
        <v>August</v>
      </c>
      <c r="I334" s="3" t="str">
        <f>TEXT(Patient_data[[#This Row],[Appointment_Date]],"mmm-yyyy")</f>
        <v>Aug-2025</v>
      </c>
      <c r="J334" s="3">
        <v>45801</v>
      </c>
      <c r="K334" t="s">
        <v>687</v>
      </c>
      <c r="L334" t="s">
        <v>23</v>
      </c>
      <c r="M334" s="4">
        <v>66.97</v>
      </c>
      <c r="N334" t="s">
        <v>24</v>
      </c>
      <c r="O334">
        <f>Patient_data[[#This Row],[Appointment_Date]]-Patient_data[[#This Row],[Booking_Date]]</f>
        <v>76</v>
      </c>
    </row>
    <row r="335" spans="1:15" x14ac:dyDescent="0.25">
      <c r="A335">
        <v>1090</v>
      </c>
      <c r="B335">
        <v>63</v>
      </c>
      <c r="C335" t="s">
        <v>378</v>
      </c>
      <c r="D335" t="s">
        <v>688</v>
      </c>
      <c r="E335" t="s">
        <v>28</v>
      </c>
      <c r="F335" s="3">
        <v>46019</v>
      </c>
      <c r="G335" s="1">
        <f>YEAR(Patient_data[[#This Row],[Appointment_Date]])</f>
        <v>2025</v>
      </c>
      <c r="H335" s="2" t="str">
        <f>TEXT(Patient_data[[#This Row],[Appointment_Date]],"mmmm")</f>
        <v>December</v>
      </c>
      <c r="I335" s="3" t="str">
        <f>TEXT(Patient_data[[#This Row],[Appointment_Date]],"mmm-yyyy")</f>
        <v>Dec-2025</v>
      </c>
      <c r="J335" s="3">
        <v>46013</v>
      </c>
      <c r="K335" t="s">
        <v>689</v>
      </c>
      <c r="L335" t="s">
        <v>19</v>
      </c>
      <c r="M335" s="4">
        <v>155.41999999999999</v>
      </c>
      <c r="N335" t="s">
        <v>24</v>
      </c>
      <c r="O335">
        <f>Patient_data[[#This Row],[Appointment_Date]]-Patient_data[[#This Row],[Booking_Date]]</f>
        <v>6</v>
      </c>
    </row>
    <row r="336" spans="1:15" x14ac:dyDescent="0.25">
      <c r="A336">
        <v>1005</v>
      </c>
      <c r="B336">
        <v>63</v>
      </c>
      <c r="C336" t="s">
        <v>378</v>
      </c>
      <c r="D336" t="s">
        <v>690</v>
      </c>
      <c r="E336" t="s">
        <v>28</v>
      </c>
      <c r="F336" s="3">
        <v>45921</v>
      </c>
      <c r="G336" s="1">
        <f>YEAR(Patient_data[[#This Row],[Appointment_Date]])</f>
        <v>2025</v>
      </c>
      <c r="H336" s="2" t="str">
        <f>TEXT(Patient_data[[#This Row],[Appointment_Date]],"mmmm")</f>
        <v>September</v>
      </c>
      <c r="I336" s="3" t="str">
        <f>TEXT(Patient_data[[#This Row],[Appointment_Date]],"mmm-yyyy")</f>
        <v>Sep-2025</v>
      </c>
      <c r="J336" s="3">
        <v>45601</v>
      </c>
      <c r="K336" t="s">
        <v>691</v>
      </c>
      <c r="L336" t="s">
        <v>30</v>
      </c>
      <c r="M336" s="4">
        <v>352.03</v>
      </c>
      <c r="N336" t="s">
        <v>24</v>
      </c>
      <c r="O336">
        <f>Patient_data[[#This Row],[Appointment_Date]]-Patient_data[[#This Row],[Booking_Date]]</f>
        <v>320</v>
      </c>
    </row>
    <row r="337" spans="1:15" x14ac:dyDescent="0.25">
      <c r="A337">
        <v>1006</v>
      </c>
      <c r="B337">
        <v>63</v>
      </c>
      <c r="C337" t="s">
        <v>378</v>
      </c>
      <c r="D337" t="s">
        <v>692</v>
      </c>
      <c r="E337" t="s">
        <v>17</v>
      </c>
      <c r="F337" s="3">
        <v>46004</v>
      </c>
      <c r="G337" s="1">
        <f>YEAR(Patient_data[[#This Row],[Appointment_Date]])</f>
        <v>2025</v>
      </c>
      <c r="H337" s="2" t="str">
        <f>TEXT(Patient_data[[#This Row],[Appointment_Date]],"mmmm")</f>
        <v>December</v>
      </c>
      <c r="I337" s="3" t="str">
        <f>TEXT(Patient_data[[#This Row],[Appointment_Date]],"mmm-yyyy")</f>
        <v>Dec-2025</v>
      </c>
      <c r="J337" s="3">
        <v>45721</v>
      </c>
      <c r="K337" t="s">
        <v>693</v>
      </c>
      <c r="L337" t="s">
        <v>19</v>
      </c>
      <c r="M337" s="4">
        <v>416.85</v>
      </c>
      <c r="N337" t="s">
        <v>20</v>
      </c>
      <c r="O337">
        <f>Patient_data[[#This Row],[Appointment_Date]]-Patient_data[[#This Row],[Booking_Date]]</f>
        <v>283</v>
      </c>
    </row>
    <row r="338" spans="1:15" x14ac:dyDescent="0.25">
      <c r="A338">
        <v>1004</v>
      </c>
      <c r="B338">
        <v>63</v>
      </c>
      <c r="C338" t="s">
        <v>378</v>
      </c>
      <c r="D338" t="s">
        <v>694</v>
      </c>
      <c r="E338" t="s">
        <v>28</v>
      </c>
      <c r="F338" s="3">
        <v>45790</v>
      </c>
      <c r="G338" s="1">
        <f>YEAR(Patient_data[[#This Row],[Appointment_Date]])</f>
        <v>2025</v>
      </c>
      <c r="H338" s="2" t="str">
        <f>TEXT(Patient_data[[#This Row],[Appointment_Date]],"mmmm")</f>
        <v>May</v>
      </c>
      <c r="I338" s="3" t="str">
        <f>TEXT(Patient_data[[#This Row],[Appointment_Date]],"mmm-yyyy")</f>
        <v>May-2025</v>
      </c>
      <c r="J338" s="3">
        <v>45404</v>
      </c>
      <c r="K338" t="s">
        <v>695</v>
      </c>
      <c r="L338" t="s">
        <v>23</v>
      </c>
      <c r="M338" s="4">
        <v>96.85</v>
      </c>
      <c r="N338" t="s">
        <v>20</v>
      </c>
      <c r="O338">
        <f>Patient_data[[#This Row],[Appointment_Date]]-Patient_data[[#This Row],[Booking_Date]]</f>
        <v>386</v>
      </c>
    </row>
    <row r="339" spans="1:15" x14ac:dyDescent="0.25">
      <c r="A339">
        <v>1048</v>
      </c>
      <c r="B339">
        <v>63</v>
      </c>
      <c r="C339" t="s">
        <v>378</v>
      </c>
      <c r="D339" t="s">
        <v>696</v>
      </c>
      <c r="E339" t="s">
        <v>28</v>
      </c>
      <c r="F339" s="3">
        <v>45945</v>
      </c>
      <c r="G339" s="1">
        <f>YEAR(Patient_data[[#This Row],[Appointment_Date]])</f>
        <v>2025</v>
      </c>
      <c r="H339" s="2" t="str">
        <f>TEXT(Patient_data[[#This Row],[Appointment_Date]],"mmmm")</f>
        <v>October</v>
      </c>
      <c r="I339" s="3" t="str">
        <f>TEXT(Patient_data[[#This Row],[Appointment_Date]],"mmm-yyyy")</f>
        <v>Oct-2025</v>
      </c>
      <c r="J339" s="3">
        <v>45690</v>
      </c>
      <c r="K339" t="s">
        <v>697</v>
      </c>
      <c r="L339" t="s">
        <v>30</v>
      </c>
      <c r="M339" s="4">
        <v>15.71</v>
      </c>
      <c r="N339" t="s">
        <v>24</v>
      </c>
      <c r="O339">
        <f>Patient_data[[#This Row],[Appointment_Date]]-Patient_data[[#This Row],[Booking_Date]]</f>
        <v>255</v>
      </c>
    </row>
    <row r="340" spans="1:15" x14ac:dyDescent="0.25">
      <c r="A340">
        <v>1027</v>
      </c>
      <c r="B340">
        <v>63</v>
      </c>
      <c r="C340" t="s">
        <v>378</v>
      </c>
      <c r="D340" t="s">
        <v>698</v>
      </c>
      <c r="E340" t="s">
        <v>17</v>
      </c>
      <c r="F340" s="3">
        <v>45847</v>
      </c>
      <c r="G340" s="1">
        <f>YEAR(Patient_data[[#This Row],[Appointment_Date]])</f>
        <v>2025</v>
      </c>
      <c r="H340" s="2" t="str">
        <f>TEXT(Patient_data[[#This Row],[Appointment_Date]],"mmmm")</f>
        <v>July</v>
      </c>
      <c r="I340" s="3" t="str">
        <f>TEXT(Patient_data[[#This Row],[Appointment_Date]],"mmm-yyyy")</f>
        <v>Jul-2025</v>
      </c>
      <c r="J340" s="3">
        <v>45504</v>
      </c>
      <c r="K340" t="s">
        <v>699</v>
      </c>
      <c r="L340" t="s">
        <v>43</v>
      </c>
      <c r="M340" s="4">
        <v>318.88</v>
      </c>
      <c r="N340" t="s">
        <v>24</v>
      </c>
      <c r="O340">
        <f>Patient_data[[#This Row],[Appointment_Date]]-Patient_data[[#This Row],[Booking_Date]]</f>
        <v>343</v>
      </c>
    </row>
    <row r="341" spans="1:15" x14ac:dyDescent="0.25">
      <c r="A341">
        <v>1009</v>
      </c>
      <c r="B341">
        <v>63</v>
      </c>
      <c r="C341" t="s">
        <v>378</v>
      </c>
      <c r="D341" t="s">
        <v>700</v>
      </c>
      <c r="E341" t="s">
        <v>17</v>
      </c>
      <c r="F341" s="3">
        <v>46070</v>
      </c>
      <c r="G341" s="1">
        <f>YEAR(Patient_data[[#This Row],[Appointment_Date]])</f>
        <v>2026</v>
      </c>
      <c r="H341" s="2" t="str">
        <f>TEXT(Patient_data[[#This Row],[Appointment_Date]],"mmmm")</f>
        <v>February</v>
      </c>
      <c r="I341" s="3" t="str">
        <f>TEXT(Patient_data[[#This Row],[Appointment_Date]],"mmm-yyyy")</f>
        <v>Feb-2026</v>
      </c>
      <c r="J341" s="3">
        <v>46033</v>
      </c>
      <c r="K341" t="s">
        <v>701</v>
      </c>
      <c r="L341" t="s">
        <v>30</v>
      </c>
      <c r="M341" s="4">
        <v>176.68</v>
      </c>
      <c r="N341" t="s">
        <v>20</v>
      </c>
      <c r="O341">
        <f>Patient_data[[#This Row],[Appointment_Date]]-Patient_data[[#This Row],[Booking_Date]]</f>
        <v>37</v>
      </c>
    </row>
    <row r="342" spans="1:15" x14ac:dyDescent="0.25">
      <c r="A342">
        <v>1068</v>
      </c>
      <c r="B342">
        <v>63</v>
      </c>
      <c r="C342" t="s">
        <v>378</v>
      </c>
      <c r="D342" t="s">
        <v>702</v>
      </c>
      <c r="E342" t="s">
        <v>17</v>
      </c>
      <c r="F342" s="3">
        <v>45932</v>
      </c>
      <c r="G342" s="1">
        <f>YEAR(Patient_data[[#This Row],[Appointment_Date]])</f>
        <v>2025</v>
      </c>
      <c r="H342" s="2" t="str">
        <f>TEXT(Patient_data[[#This Row],[Appointment_Date]],"mmmm")</f>
        <v>October</v>
      </c>
      <c r="I342" s="3" t="str">
        <f>TEXT(Patient_data[[#This Row],[Appointment_Date]],"mmm-yyyy")</f>
        <v>Oct-2025</v>
      </c>
      <c r="J342" s="3">
        <v>45449</v>
      </c>
      <c r="K342" t="s">
        <v>703</v>
      </c>
      <c r="L342" t="s">
        <v>23</v>
      </c>
      <c r="M342" s="4">
        <v>217.86</v>
      </c>
      <c r="N342" t="s">
        <v>20</v>
      </c>
      <c r="O342">
        <f>Patient_data[[#This Row],[Appointment_Date]]-Patient_data[[#This Row],[Booking_Date]]</f>
        <v>483</v>
      </c>
    </row>
    <row r="343" spans="1:15" x14ac:dyDescent="0.25">
      <c r="A343">
        <v>1089</v>
      </c>
      <c r="B343">
        <v>63</v>
      </c>
      <c r="C343" t="s">
        <v>378</v>
      </c>
      <c r="D343" t="s">
        <v>704</v>
      </c>
      <c r="E343" t="s">
        <v>17</v>
      </c>
      <c r="F343" s="3">
        <v>45970</v>
      </c>
      <c r="G343" s="1">
        <f>YEAR(Patient_data[[#This Row],[Appointment_Date]])</f>
        <v>2025</v>
      </c>
      <c r="H343" s="2" t="str">
        <f>TEXT(Patient_data[[#This Row],[Appointment_Date]],"mmmm")</f>
        <v>November</v>
      </c>
      <c r="I343" s="3" t="str">
        <f>TEXT(Patient_data[[#This Row],[Appointment_Date]],"mmm-yyyy")</f>
        <v>Nov-2025</v>
      </c>
      <c r="J343" s="3">
        <v>45634</v>
      </c>
      <c r="K343" t="s">
        <v>705</v>
      </c>
      <c r="L343" t="s">
        <v>19</v>
      </c>
      <c r="M343" s="4">
        <v>426.51</v>
      </c>
      <c r="N343" t="s">
        <v>24</v>
      </c>
      <c r="O343">
        <f>Patient_data[[#This Row],[Appointment_Date]]-Patient_data[[#This Row],[Booking_Date]]</f>
        <v>336</v>
      </c>
    </row>
    <row r="344" spans="1:15" x14ac:dyDescent="0.25">
      <c r="A344">
        <v>1021</v>
      </c>
      <c r="B344">
        <v>63</v>
      </c>
      <c r="C344" t="s">
        <v>378</v>
      </c>
      <c r="D344" t="s">
        <v>706</v>
      </c>
      <c r="E344" t="s">
        <v>17</v>
      </c>
      <c r="F344" s="3">
        <v>45843</v>
      </c>
      <c r="G344" s="1">
        <f>YEAR(Patient_data[[#This Row],[Appointment_Date]])</f>
        <v>2025</v>
      </c>
      <c r="H344" s="2" t="str">
        <f>TEXT(Patient_data[[#This Row],[Appointment_Date]],"mmmm")</f>
        <v>July</v>
      </c>
      <c r="I344" s="3" t="str">
        <f>TEXT(Patient_data[[#This Row],[Appointment_Date]],"mmm-yyyy")</f>
        <v>Jul-2025</v>
      </c>
      <c r="J344" s="3">
        <v>45829</v>
      </c>
      <c r="K344" t="s">
        <v>707</v>
      </c>
      <c r="L344" t="s">
        <v>19</v>
      </c>
      <c r="M344" s="4">
        <v>62.6</v>
      </c>
      <c r="N344" t="s">
        <v>24</v>
      </c>
      <c r="O344">
        <f>Patient_data[[#This Row],[Appointment_Date]]-Patient_data[[#This Row],[Booking_Date]]</f>
        <v>14</v>
      </c>
    </row>
    <row r="345" spans="1:15" x14ac:dyDescent="0.25">
      <c r="A345">
        <v>1044</v>
      </c>
      <c r="B345">
        <v>63</v>
      </c>
      <c r="C345" t="s">
        <v>378</v>
      </c>
      <c r="D345" t="s">
        <v>708</v>
      </c>
      <c r="E345" t="s">
        <v>28</v>
      </c>
      <c r="F345" s="3">
        <v>45919</v>
      </c>
      <c r="G345" s="1">
        <f>YEAR(Patient_data[[#This Row],[Appointment_Date]])</f>
        <v>2025</v>
      </c>
      <c r="H345" s="2" t="str">
        <f>TEXT(Patient_data[[#This Row],[Appointment_Date]],"mmmm")</f>
        <v>September</v>
      </c>
      <c r="I345" s="3" t="str">
        <f>TEXT(Patient_data[[#This Row],[Appointment_Date]],"mmm-yyyy")</f>
        <v>Sep-2025</v>
      </c>
      <c r="J345" s="3">
        <v>45695</v>
      </c>
      <c r="K345" t="s">
        <v>709</v>
      </c>
      <c r="L345" t="s">
        <v>23</v>
      </c>
      <c r="M345" s="4">
        <v>15.35</v>
      </c>
      <c r="N345" t="s">
        <v>20</v>
      </c>
      <c r="O345">
        <f>Patient_data[[#This Row],[Appointment_Date]]-Patient_data[[#This Row],[Booking_Date]]</f>
        <v>224</v>
      </c>
    </row>
    <row r="346" spans="1:15" x14ac:dyDescent="0.25">
      <c r="A346">
        <v>1051</v>
      </c>
      <c r="B346">
        <v>63</v>
      </c>
      <c r="C346" t="s">
        <v>378</v>
      </c>
      <c r="D346" t="s">
        <v>710</v>
      </c>
      <c r="E346" t="s">
        <v>17</v>
      </c>
      <c r="F346" s="3">
        <v>46083</v>
      </c>
      <c r="G346" s="1">
        <f>YEAR(Patient_data[[#This Row],[Appointment_Date]])</f>
        <v>2026</v>
      </c>
      <c r="H346" s="2" t="str">
        <f>TEXT(Patient_data[[#This Row],[Appointment_Date]],"mmmm")</f>
        <v>March</v>
      </c>
      <c r="I346" s="3" t="str">
        <f>TEXT(Patient_data[[#This Row],[Appointment_Date]],"mmm-yyyy")</f>
        <v>Mar-2026</v>
      </c>
      <c r="J346" s="3">
        <v>45720</v>
      </c>
      <c r="K346" t="s">
        <v>711</v>
      </c>
      <c r="L346" t="s">
        <v>23</v>
      </c>
      <c r="M346" s="4">
        <v>116.32</v>
      </c>
      <c r="N346" t="s">
        <v>24</v>
      </c>
      <c r="O346">
        <f>Patient_data[[#This Row],[Appointment_Date]]-Patient_data[[#This Row],[Booking_Date]]</f>
        <v>363</v>
      </c>
    </row>
    <row r="347" spans="1:15" x14ac:dyDescent="0.25">
      <c r="A347">
        <v>1029</v>
      </c>
      <c r="B347">
        <v>63</v>
      </c>
      <c r="C347" t="s">
        <v>378</v>
      </c>
      <c r="D347" t="s">
        <v>712</v>
      </c>
      <c r="E347" t="s">
        <v>28</v>
      </c>
      <c r="F347" s="3">
        <v>45882</v>
      </c>
      <c r="G347" s="1">
        <f>YEAR(Patient_data[[#This Row],[Appointment_Date]])</f>
        <v>2025</v>
      </c>
      <c r="H347" s="2" t="str">
        <f>TEXT(Patient_data[[#This Row],[Appointment_Date]],"mmmm")</f>
        <v>August</v>
      </c>
      <c r="I347" s="3" t="str">
        <f>TEXT(Patient_data[[#This Row],[Appointment_Date]],"mmm-yyyy")</f>
        <v>Aug-2025</v>
      </c>
      <c r="J347" s="3">
        <v>45538</v>
      </c>
      <c r="K347" t="s">
        <v>713</v>
      </c>
      <c r="L347" t="s">
        <v>43</v>
      </c>
      <c r="M347" s="4">
        <v>8.56</v>
      </c>
      <c r="N347" t="s">
        <v>20</v>
      </c>
      <c r="O347">
        <f>Patient_data[[#This Row],[Appointment_Date]]-Patient_data[[#This Row],[Booking_Date]]</f>
        <v>344</v>
      </c>
    </row>
    <row r="348" spans="1:15" x14ac:dyDescent="0.25">
      <c r="A348">
        <v>1015</v>
      </c>
      <c r="B348">
        <v>63</v>
      </c>
      <c r="C348" t="s">
        <v>378</v>
      </c>
      <c r="D348" t="s">
        <v>714</v>
      </c>
      <c r="E348" t="s">
        <v>28</v>
      </c>
      <c r="F348" s="3">
        <v>45989</v>
      </c>
      <c r="G348" s="1">
        <f>YEAR(Patient_data[[#This Row],[Appointment_Date]])</f>
        <v>2025</v>
      </c>
      <c r="H348" s="2" t="str">
        <f>TEXT(Patient_data[[#This Row],[Appointment_Date]],"mmmm")</f>
        <v>November</v>
      </c>
      <c r="I348" s="3" t="str">
        <f>TEXT(Patient_data[[#This Row],[Appointment_Date]],"mmm-yyyy")</f>
        <v>Nov-2025</v>
      </c>
      <c r="J348" s="3">
        <v>45559</v>
      </c>
      <c r="K348" t="s">
        <v>715</v>
      </c>
      <c r="L348" t="s">
        <v>19</v>
      </c>
      <c r="M348" s="4">
        <v>27.62</v>
      </c>
      <c r="N348" t="s">
        <v>24</v>
      </c>
      <c r="O348">
        <f>Patient_data[[#This Row],[Appointment_Date]]-Patient_data[[#This Row],[Booking_Date]]</f>
        <v>430</v>
      </c>
    </row>
    <row r="349" spans="1:15" x14ac:dyDescent="0.25">
      <c r="A349">
        <v>1047</v>
      </c>
      <c r="B349">
        <v>63</v>
      </c>
      <c r="C349" t="s">
        <v>378</v>
      </c>
      <c r="D349" t="s">
        <v>716</v>
      </c>
      <c r="E349" t="s">
        <v>28</v>
      </c>
      <c r="F349" s="3">
        <v>45768</v>
      </c>
      <c r="G349" s="1">
        <f>YEAR(Patient_data[[#This Row],[Appointment_Date]])</f>
        <v>2025</v>
      </c>
      <c r="H349" s="2" t="str">
        <f>TEXT(Patient_data[[#This Row],[Appointment_Date]],"mmmm")</f>
        <v>April</v>
      </c>
      <c r="I349" s="3" t="str">
        <f>TEXT(Patient_data[[#This Row],[Appointment_Date]],"mmm-yyyy")</f>
        <v>Apr-2025</v>
      </c>
      <c r="J349" s="3">
        <v>45722</v>
      </c>
      <c r="K349" t="s">
        <v>717</v>
      </c>
      <c r="L349" t="s">
        <v>19</v>
      </c>
      <c r="M349" s="4">
        <v>90.36</v>
      </c>
      <c r="N349" t="s">
        <v>20</v>
      </c>
      <c r="O349">
        <f>Patient_data[[#This Row],[Appointment_Date]]-Patient_data[[#This Row],[Booking_Date]]</f>
        <v>46</v>
      </c>
    </row>
    <row r="350" spans="1:15" x14ac:dyDescent="0.25">
      <c r="A350">
        <v>1085</v>
      </c>
      <c r="B350">
        <v>63</v>
      </c>
      <c r="C350" t="s">
        <v>378</v>
      </c>
      <c r="D350" t="s">
        <v>718</v>
      </c>
      <c r="E350" t="s">
        <v>17</v>
      </c>
      <c r="F350" s="3">
        <v>45881</v>
      </c>
      <c r="G350" s="1">
        <f>YEAR(Patient_data[[#This Row],[Appointment_Date]])</f>
        <v>2025</v>
      </c>
      <c r="H350" s="2" t="str">
        <f>TEXT(Patient_data[[#This Row],[Appointment_Date]],"mmmm")</f>
        <v>August</v>
      </c>
      <c r="I350" s="3" t="str">
        <f>TEXT(Patient_data[[#This Row],[Appointment_Date]],"mmm-yyyy")</f>
        <v>Aug-2025</v>
      </c>
      <c r="J350" s="3">
        <v>45599</v>
      </c>
      <c r="K350" t="s">
        <v>719</v>
      </c>
      <c r="L350" t="s">
        <v>43</v>
      </c>
      <c r="M350" s="4">
        <v>421.18</v>
      </c>
      <c r="N350" t="s">
        <v>24</v>
      </c>
      <c r="O350">
        <f>Patient_data[[#This Row],[Appointment_Date]]-Patient_data[[#This Row],[Booking_Date]]</f>
        <v>282</v>
      </c>
    </row>
    <row r="351" spans="1:15" x14ac:dyDescent="0.25">
      <c r="A351">
        <v>1063</v>
      </c>
      <c r="B351">
        <v>62</v>
      </c>
      <c r="C351" t="s">
        <v>378</v>
      </c>
      <c r="D351" t="s">
        <v>720</v>
      </c>
      <c r="E351" t="s">
        <v>28</v>
      </c>
      <c r="F351" s="3">
        <v>46032</v>
      </c>
      <c r="G351" s="1">
        <f>YEAR(Patient_data[[#This Row],[Appointment_Date]])</f>
        <v>2026</v>
      </c>
      <c r="H351" s="2" t="str">
        <f>TEXT(Patient_data[[#This Row],[Appointment_Date]],"mmmm")</f>
        <v>January</v>
      </c>
      <c r="I351" s="3" t="str">
        <f>TEXT(Patient_data[[#This Row],[Appointment_Date]],"mmm-yyyy")</f>
        <v>Jan-2026</v>
      </c>
      <c r="J351" s="3">
        <v>45637</v>
      </c>
      <c r="K351" t="s">
        <v>721</v>
      </c>
      <c r="L351" t="s">
        <v>19</v>
      </c>
      <c r="M351" s="4">
        <v>87.4</v>
      </c>
      <c r="N351" t="s">
        <v>20</v>
      </c>
      <c r="O351">
        <f>Patient_data[[#This Row],[Appointment_Date]]-Patient_data[[#This Row],[Booking_Date]]</f>
        <v>395</v>
      </c>
    </row>
    <row r="352" spans="1:15" x14ac:dyDescent="0.25">
      <c r="A352">
        <v>1100</v>
      </c>
      <c r="B352">
        <v>62</v>
      </c>
      <c r="C352" t="s">
        <v>378</v>
      </c>
      <c r="D352" t="s">
        <v>722</v>
      </c>
      <c r="E352" t="s">
        <v>17</v>
      </c>
      <c r="F352" s="3">
        <v>45750</v>
      </c>
      <c r="G352" s="1">
        <f>YEAR(Patient_data[[#This Row],[Appointment_Date]])</f>
        <v>2025</v>
      </c>
      <c r="H352" s="2" t="str">
        <f>TEXT(Patient_data[[#This Row],[Appointment_Date]],"mmmm")</f>
        <v>April</v>
      </c>
      <c r="I352" s="3" t="str">
        <f>TEXT(Patient_data[[#This Row],[Appointment_Date]],"mmm-yyyy")</f>
        <v>Apr-2025</v>
      </c>
      <c r="J352" s="3">
        <v>45734</v>
      </c>
      <c r="K352" t="s">
        <v>723</v>
      </c>
      <c r="L352" t="s">
        <v>43</v>
      </c>
      <c r="M352" s="4">
        <v>11.18</v>
      </c>
      <c r="N352" t="s">
        <v>24</v>
      </c>
      <c r="O352">
        <f>Patient_data[[#This Row],[Appointment_Date]]-Patient_data[[#This Row],[Booking_Date]]</f>
        <v>16</v>
      </c>
    </row>
    <row r="353" spans="1:15" x14ac:dyDescent="0.25">
      <c r="A353">
        <v>1013</v>
      </c>
      <c r="B353">
        <v>62</v>
      </c>
      <c r="C353" t="s">
        <v>378</v>
      </c>
      <c r="D353" t="s">
        <v>724</v>
      </c>
      <c r="E353" t="s">
        <v>28</v>
      </c>
      <c r="F353" s="3">
        <v>46024</v>
      </c>
      <c r="G353" s="1">
        <f>YEAR(Patient_data[[#This Row],[Appointment_Date]])</f>
        <v>2026</v>
      </c>
      <c r="H353" s="2" t="str">
        <f>TEXT(Patient_data[[#This Row],[Appointment_Date]],"mmmm")</f>
        <v>January</v>
      </c>
      <c r="I353" s="3" t="str">
        <f>TEXT(Patient_data[[#This Row],[Appointment_Date]],"mmm-yyyy")</f>
        <v>Jan-2026</v>
      </c>
      <c r="J353" s="3">
        <v>45714</v>
      </c>
      <c r="K353" t="s">
        <v>725</v>
      </c>
      <c r="L353" t="s">
        <v>19</v>
      </c>
      <c r="M353" s="4">
        <v>13.25</v>
      </c>
      <c r="N353" t="s">
        <v>24</v>
      </c>
      <c r="O353">
        <f>Patient_data[[#This Row],[Appointment_Date]]-Patient_data[[#This Row],[Booking_Date]]</f>
        <v>310</v>
      </c>
    </row>
    <row r="354" spans="1:15" x14ac:dyDescent="0.25">
      <c r="A354">
        <v>1085</v>
      </c>
      <c r="B354">
        <v>62</v>
      </c>
      <c r="C354" t="s">
        <v>378</v>
      </c>
      <c r="D354" t="s">
        <v>726</v>
      </c>
      <c r="E354" t="s">
        <v>17</v>
      </c>
      <c r="F354" s="3">
        <v>45968</v>
      </c>
      <c r="G354" s="1">
        <f>YEAR(Patient_data[[#This Row],[Appointment_Date]])</f>
        <v>2025</v>
      </c>
      <c r="H354" s="2" t="str">
        <f>TEXT(Patient_data[[#This Row],[Appointment_Date]],"mmmm")</f>
        <v>November</v>
      </c>
      <c r="I354" s="3" t="str">
        <f>TEXT(Patient_data[[#This Row],[Appointment_Date]],"mmm-yyyy")</f>
        <v>Nov-2025</v>
      </c>
      <c r="J354" s="3">
        <v>45515</v>
      </c>
      <c r="K354" t="s">
        <v>462</v>
      </c>
      <c r="L354" t="s">
        <v>30</v>
      </c>
      <c r="M354" s="4">
        <v>57.15</v>
      </c>
      <c r="N354" t="s">
        <v>20</v>
      </c>
      <c r="O354">
        <f>Patient_data[[#This Row],[Appointment_Date]]-Patient_data[[#This Row],[Booking_Date]]</f>
        <v>453</v>
      </c>
    </row>
    <row r="355" spans="1:15" x14ac:dyDescent="0.25">
      <c r="A355">
        <v>1070</v>
      </c>
      <c r="B355">
        <v>62</v>
      </c>
      <c r="C355" t="s">
        <v>378</v>
      </c>
      <c r="D355" t="s">
        <v>727</v>
      </c>
      <c r="E355" t="s">
        <v>28</v>
      </c>
      <c r="F355" s="3">
        <v>45909</v>
      </c>
      <c r="G355" s="1">
        <f>YEAR(Patient_data[[#This Row],[Appointment_Date]])</f>
        <v>2025</v>
      </c>
      <c r="H355" s="2" t="str">
        <f>TEXT(Patient_data[[#This Row],[Appointment_Date]],"mmmm")</f>
        <v>September</v>
      </c>
      <c r="I355" s="3" t="str">
        <f>TEXT(Patient_data[[#This Row],[Appointment_Date]],"mmm-yyyy")</f>
        <v>Sep-2025</v>
      </c>
      <c r="J355" s="3">
        <v>45621</v>
      </c>
      <c r="K355" t="s">
        <v>728</v>
      </c>
      <c r="L355" t="s">
        <v>30</v>
      </c>
      <c r="M355" s="4">
        <v>178.28</v>
      </c>
      <c r="N355" t="s">
        <v>24</v>
      </c>
      <c r="O355">
        <f>Patient_data[[#This Row],[Appointment_Date]]-Patient_data[[#This Row],[Booking_Date]]</f>
        <v>288</v>
      </c>
    </row>
    <row r="356" spans="1:15" x14ac:dyDescent="0.25">
      <c r="A356">
        <v>1040</v>
      </c>
      <c r="B356">
        <v>62</v>
      </c>
      <c r="C356" t="s">
        <v>378</v>
      </c>
      <c r="D356" t="s">
        <v>729</v>
      </c>
      <c r="E356" t="s">
        <v>17</v>
      </c>
      <c r="F356" s="3">
        <v>46043</v>
      </c>
      <c r="G356" s="1">
        <f>YEAR(Patient_data[[#This Row],[Appointment_Date]])</f>
        <v>2026</v>
      </c>
      <c r="H356" s="2" t="str">
        <f>TEXT(Patient_data[[#This Row],[Appointment_Date]],"mmmm")</f>
        <v>January</v>
      </c>
      <c r="I356" s="3" t="str">
        <f>TEXT(Patient_data[[#This Row],[Appointment_Date]],"mmm-yyyy")</f>
        <v>Jan-2026</v>
      </c>
      <c r="J356" s="3">
        <v>45639</v>
      </c>
      <c r="K356" t="s">
        <v>730</v>
      </c>
      <c r="L356" t="s">
        <v>19</v>
      </c>
      <c r="M356" s="4">
        <v>90.14</v>
      </c>
      <c r="N356" t="s">
        <v>24</v>
      </c>
      <c r="O356">
        <f>Patient_data[[#This Row],[Appointment_Date]]-Patient_data[[#This Row],[Booking_Date]]</f>
        <v>404</v>
      </c>
    </row>
    <row r="357" spans="1:15" x14ac:dyDescent="0.25">
      <c r="A357">
        <v>1091</v>
      </c>
      <c r="B357">
        <v>62</v>
      </c>
      <c r="C357" t="s">
        <v>378</v>
      </c>
      <c r="D357" t="s">
        <v>731</v>
      </c>
      <c r="E357" t="s">
        <v>17</v>
      </c>
      <c r="F357" s="3">
        <v>46103</v>
      </c>
      <c r="G357" s="1">
        <f>YEAR(Patient_data[[#This Row],[Appointment_Date]])</f>
        <v>2026</v>
      </c>
      <c r="H357" s="2" t="str">
        <f>TEXT(Patient_data[[#This Row],[Appointment_Date]],"mmmm")</f>
        <v>March</v>
      </c>
      <c r="I357" s="3" t="str">
        <f>TEXT(Patient_data[[#This Row],[Appointment_Date]],"mmm-yyyy")</f>
        <v>Mar-2026</v>
      </c>
      <c r="J357" s="3">
        <v>45989</v>
      </c>
      <c r="K357" t="s">
        <v>732</v>
      </c>
      <c r="L357" t="s">
        <v>19</v>
      </c>
      <c r="M357" s="4">
        <v>33.630000000000003</v>
      </c>
      <c r="N357" t="s">
        <v>24</v>
      </c>
      <c r="O357">
        <f>Patient_data[[#This Row],[Appointment_Date]]-Patient_data[[#This Row],[Booking_Date]]</f>
        <v>114</v>
      </c>
    </row>
    <row r="358" spans="1:15" x14ac:dyDescent="0.25">
      <c r="A358">
        <v>1057</v>
      </c>
      <c r="B358">
        <v>61</v>
      </c>
      <c r="C358" t="s">
        <v>378</v>
      </c>
      <c r="D358" t="s">
        <v>733</v>
      </c>
      <c r="E358" t="s">
        <v>28</v>
      </c>
      <c r="F358" s="3">
        <v>45869</v>
      </c>
      <c r="G358" s="1">
        <f>YEAR(Patient_data[[#This Row],[Appointment_Date]])</f>
        <v>2025</v>
      </c>
      <c r="H358" s="2" t="str">
        <f>TEXT(Patient_data[[#This Row],[Appointment_Date]],"mmmm")</f>
        <v>July</v>
      </c>
      <c r="I358" s="3" t="str">
        <f>TEXT(Patient_data[[#This Row],[Appointment_Date]],"mmm-yyyy")</f>
        <v>Jul-2025</v>
      </c>
      <c r="J358" s="3">
        <v>45417</v>
      </c>
      <c r="K358" t="s">
        <v>734</v>
      </c>
      <c r="L358" t="s">
        <v>19</v>
      </c>
      <c r="M358" s="4">
        <v>277.14</v>
      </c>
      <c r="N358" t="s">
        <v>20</v>
      </c>
      <c r="O358">
        <f>Patient_data[[#This Row],[Appointment_Date]]-Patient_data[[#This Row],[Booking_Date]]</f>
        <v>452</v>
      </c>
    </row>
    <row r="359" spans="1:15" x14ac:dyDescent="0.25">
      <c r="A359">
        <v>1060</v>
      </c>
      <c r="B359">
        <v>61</v>
      </c>
      <c r="C359" t="s">
        <v>378</v>
      </c>
      <c r="D359" t="s">
        <v>735</v>
      </c>
      <c r="E359" t="s">
        <v>28</v>
      </c>
      <c r="F359" s="3">
        <v>45980</v>
      </c>
      <c r="G359" s="1">
        <f>YEAR(Patient_data[[#This Row],[Appointment_Date]])</f>
        <v>2025</v>
      </c>
      <c r="H359" s="2" t="str">
        <f>TEXT(Patient_data[[#This Row],[Appointment_Date]],"mmmm")</f>
        <v>November</v>
      </c>
      <c r="I359" s="3" t="str">
        <f>TEXT(Patient_data[[#This Row],[Appointment_Date]],"mmm-yyyy")</f>
        <v>Nov-2025</v>
      </c>
      <c r="J359" s="3">
        <v>45410</v>
      </c>
      <c r="K359" t="s">
        <v>736</v>
      </c>
      <c r="L359" t="s">
        <v>23</v>
      </c>
      <c r="M359" s="4">
        <v>99.75</v>
      </c>
      <c r="N359" t="s">
        <v>24</v>
      </c>
      <c r="O359">
        <f>Patient_data[[#This Row],[Appointment_Date]]-Patient_data[[#This Row],[Booking_Date]]</f>
        <v>570</v>
      </c>
    </row>
    <row r="360" spans="1:15" x14ac:dyDescent="0.25">
      <c r="A360">
        <v>1095</v>
      </c>
      <c r="B360">
        <v>61</v>
      </c>
      <c r="C360" t="s">
        <v>378</v>
      </c>
      <c r="D360" t="s">
        <v>737</v>
      </c>
      <c r="E360" t="s">
        <v>17</v>
      </c>
      <c r="F360" s="3">
        <v>45949</v>
      </c>
      <c r="G360" s="1">
        <f>YEAR(Patient_data[[#This Row],[Appointment_Date]])</f>
        <v>2025</v>
      </c>
      <c r="H360" s="2" t="str">
        <f>TEXT(Patient_data[[#This Row],[Appointment_Date]],"mmmm")</f>
        <v>October</v>
      </c>
      <c r="I360" s="3" t="str">
        <f>TEXT(Patient_data[[#This Row],[Appointment_Date]],"mmm-yyyy")</f>
        <v>Oct-2025</v>
      </c>
      <c r="J360" s="3">
        <v>45891</v>
      </c>
      <c r="K360" t="s">
        <v>738</v>
      </c>
      <c r="L360" t="s">
        <v>19</v>
      </c>
      <c r="M360" s="4">
        <v>89.37</v>
      </c>
      <c r="N360" t="s">
        <v>20</v>
      </c>
      <c r="O360">
        <f>Patient_data[[#This Row],[Appointment_Date]]-Patient_data[[#This Row],[Booking_Date]]</f>
        <v>58</v>
      </c>
    </row>
    <row r="361" spans="1:15" x14ac:dyDescent="0.25">
      <c r="A361">
        <v>1068</v>
      </c>
      <c r="B361">
        <v>61</v>
      </c>
      <c r="C361" t="s">
        <v>378</v>
      </c>
      <c r="D361" t="s">
        <v>739</v>
      </c>
      <c r="E361" t="s">
        <v>17</v>
      </c>
      <c r="F361" s="3">
        <v>45950</v>
      </c>
      <c r="G361" s="1">
        <f>YEAR(Patient_data[[#This Row],[Appointment_Date]])</f>
        <v>2025</v>
      </c>
      <c r="H361" s="2" t="str">
        <f>TEXT(Patient_data[[#This Row],[Appointment_Date]],"mmmm")</f>
        <v>October</v>
      </c>
      <c r="I361" s="3" t="str">
        <f>TEXT(Patient_data[[#This Row],[Appointment_Date]],"mmm-yyyy")</f>
        <v>Oct-2025</v>
      </c>
      <c r="J361" s="3">
        <v>45876</v>
      </c>
      <c r="K361" t="s">
        <v>740</v>
      </c>
      <c r="L361" t="s">
        <v>19</v>
      </c>
      <c r="M361" s="4">
        <v>29.48</v>
      </c>
      <c r="N361" t="s">
        <v>20</v>
      </c>
      <c r="O361">
        <f>Patient_data[[#This Row],[Appointment_Date]]-Patient_data[[#This Row],[Booking_Date]]</f>
        <v>74</v>
      </c>
    </row>
    <row r="362" spans="1:15" x14ac:dyDescent="0.25">
      <c r="A362">
        <v>1039</v>
      </c>
      <c r="B362">
        <v>61</v>
      </c>
      <c r="C362" t="s">
        <v>378</v>
      </c>
      <c r="D362" t="s">
        <v>741</v>
      </c>
      <c r="E362" t="s">
        <v>17</v>
      </c>
      <c r="F362" s="3">
        <v>45968</v>
      </c>
      <c r="G362" s="1">
        <f>YEAR(Patient_data[[#This Row],[Appointment_Date]])</f>
        <v>2025</v>
      </c>
      <c r="H362" s="2" t="str">
        <f>TEXT(Patient_data[[#This Row],[Appointment_Date]],"mmmm")</f>
        <v>November</v>
      </c>
      <c r="I362" s="3" t="str">
        <f>TEXT(Patient_data[[#This Row],[Appointment_Date]],"mmm-yyyy")</f>
        <v>Nov-2025</v>
      </c>
      <c r="J362" s="3">
        <v>45921</v>
      </c>
      <c r="K362" t="s">
        <v>742</v>
      </c>
      <c r="L362" t="s">
        <v>23</v>
      </c>
      <c r="M362" s="4">
        <v>264.27</v>
      </c>
      <c r="N362" t="s">
        <v>20</v>
      </c>
      <c r="O362">
        <f>Patient_data[[#This Row],[Appointment_Date]]-Patient_data[[#This Row],[Booking_Date]]</f>
        <v>47</v>
      </c>
    </row>
    <row r="363" spans="1:15" x14ac:dyDescent="0.25">
      <c r="A363">
        <v>1003</v>
      </c>
      <c r="B363">
        <v>61</v>
      </c>
      <c r="C363" t="s">
        <v>378</v>
      </c>
      <c r="D363" t="s">
        <v>743</v>
      </c>
      <c r="E363" t="s">
        <v>28</v>
      </c>
      <c r="F363" s="3">
        <v>45869</v>
      </c>
      <c r="G363" s="1">
        <f>YEAR(Patient_data[[#This Row],[Appointment_Date]])</f>
        <v>2025</v>
      </c>
      <c r="H363" s="2" t="str">
        <f>TEXT(Patient_data[[#This Row],[Appointment_Date]],"mmmm")</f>
        <v>July</v>
      </c>
      <c r="I363" s="3" t="str">
        <f>TEXT(Patient_data[[#This Row],[Appointment_Date]],"mmm-yyyy")</f>
        <v>Jul-2025</v>
      </c>
      <c r="J363" s="3">
        <v>45770</v>
      </c>
      <c r="K363" t="s">
        <v>744</v>
      </c>
      <c r="L363" t="s">
        <v>19</v>
      </c>
      <c r="M363" s="4">
        <v>17.84</v>
      </c>
      <c r="N363" t="s">
        <v>20</v>
      </c>
      <c r="O363">
        <f>Patient_data[[#This Row],[Appointment_Date]]-Patient_data[[#This Row],[Booking_Date]]</f>
        <v>99</v>
      </c>
    </row>
    <row r="364" spans="1:15" x14ac:dyDescent="0.25">
      <c r="A364">
        <v>1050</v>
      </c>
      <c r="B364">
        <v>61</v>
      </c>
      <c r="C364" t="s">
        <v>378</v>
      </c>
      <c r="D364" t="s">
        <v>745</v>
      </c>
      <c r="E364" t="s">
        <v>28</v>
      </c>
      <c r="F364" s="3">
        <v>45827</v>
      </c>
      <c r="G364" s="1">
        <f>YEAR(Patient_data[[#This Row],[Appointment_Date]])</f>
        <v>2025</v>
      </c>
      <c r="H364" s="2" t="str">
        <f>TEXT(Patient_data[[#This Row],[Appointment_Date]],"mmmm")</f>
        <v>June</v>
      </c>
      <c r="I364" s="3" t="str">
        <f>TEXT(Patient_data[[#This Row],[Appointment_Date]],"mmm-yyyy")</f>
        <v>Jun-2025</v>
      </c>
      <c r="J364" s="3">
        <v>45536</v>
      </c>
      <c r="K364" t="s">
        <v>746</v>
      </c>
      <c r="L364" t="s">
        <v>19</v>
      </c>
      <c r="M364" s="4">
        <v>35.74</v>
      </c>
      <c r="N364" t="s">
        <v>20</v>
      </c>
      <c r="O364">
        <f>Patient_data[[#This Row],[Appointment_Date]]-Patient_data[[#This Row],[Booking_Date]]</f>
        <v>291</v>
      </c>
    </row>
    <row r="365" spans="1:15" x14ac:dyDescent="0.25">
      <c r="A365">
        <v>1009</v>
      </c>
      <c r="B365">
        <v>61</v>
      </c>
      <c r="C365" t="s">
        <v>378</v>
      </c>
      <c r="D365" t="s">
        <v>747</v>
      </c>
      <c r="E365" t="s">
        <v>28</v>
      </c>
      <c r="F365" s="3">
        <v>46023</v>
      </c>
      <c r="G365" s="1">
        <f>YEAR(Patient_data[[#This Row],[Appointment_Date]])</f>
        <v>2026</v>
      </c>
      <c r="H365" s="2" t="str">
        <f>TEXT(Patient_data[[#This Row],[Appointment_Date]],"mmmm")</f>
        <v>January</v>
      </c>
      <c r="I365" s="3" t="str">
        <f>TEXT(Patient_data[[#This Row],[Appointment_Date]],"mmm-yyyy")</f>
        <v>Jan-2026</v>
      </c>
      <c r="J365" s="3">
        <v>45883</v>
      </c>
      <c r="K365" t="s">
        <v>748</v>
      </c>
      <c r="L365" t="s">
        <v>23</v>
      </c>
      <c r="M365" s="4">
        <v>402.6</v>
      </c>
      <c r="N365" t="s">
        <v>20</v>
      </c>
      <c r="O365">
        <f>Patient_data[[#This Row],[Appointment_Date]]-Patient_data[[#This Row],[Booking_Date]]</f>
        <v>140</v>
      </c>
    </row>
    <row r="366" spans="1:15" x14ac:dyDescent="0.25">
      <c r="A366">
        <v>1021</v>
      </c>
      <c r="B366">
        <v>61</v>
      </c>
      <c r="C366" t="s">
        <v>378</v>
      </c>
      <c r="D366" t="s">
        <v>749</v>
      </c>
      <c r="E366" t="s">
        <v>28</v>
      </c>
      <c r="F366" s="3">
        <v>46085</v>
      </c>
      <c r="G366" s="1">
        <f>YEAR(Patient_data[[#This Row],[Appointment_Date]])</f>
        <v>2026</v>
      </c>
      <c r="H366" s="2" t="str">
        <f>TEXT(Patient_data[[#This Row],[Appointment_Date]],"mmmm")</f>
        <v>March</v>
      </c>
      <c r="I366" s="3" t="str">
        <f>TEXT(Patient_data[[#This Row],[Appointment_Date]],"mmm-yyyy")</f>
        <v>Mar-2026</v>
      </c>
      <c r="J366" s="3">
        <v>45879</v>
      </c>
      <c r="K366" t="s">
        <v>750</v>
      </c>
      <c r="L366" t="s">
        <v>19</v>
      </c>
      <c r="M366" s="4">
        <v>10.15</v>
      </c>
      <c r="N366" t="s">
        <v>24</v>
      </c>
      <c r="O366">
        <f>Patient_data[[#This Row],[Appointment_Date]]-Patient_data[[#This Row],[Booking_Date]]</f>
        <v>206</v>
      </c>
    </row>
    <row r="367" spans="1:15" x14ac:dyDescent="0.25">
      <c r="A367">
        <v>1001</v>
      </c>
      <c r="B367">
        <v>61</v>
      </c>
      <c r="C367" t="s">
        <v>378</v>
      </c>
      <c r="D367" t="s">
        <v>751</v>
      </c>
      <c r="E367" t="s">
        <v>17</v>
      </c>
      <c r="F367" s="3">
        <v>45954</v>
      </c>
      <c r="G367" s="1">
        <f>YEAR(Patient_data[[#This Row],[Appointment_Date]])</f>
        <v>2025</v>
      </c>
      <c r="H367" s="2" t="str">
        <f>TEXT(Patient_data[[#This Row],[Appointment_Date]],"mmmm")</f>
        <v>October</v>
      </c>
      <c r="I367" s="3" t="str">
        <f>TEXT(Patient_data[[#This Row],[Appointment_Date]],"mmm-yyyy")</f>
        <v>Oct-2025</v>
      </c>
      <c r="J367" s="3">
        <v>45890</v>
      </c>
      <c r="K367" t="s">
        <v>752</v>
      </c>
      <c r="L367" t="s">
        <v>43</v>
      </c>
      <c r="M367" s="4">
        <v>81.87</v>
      </c>
      <c r="N367" t="s">
        <v>24</v>
      </c>
      <c r="O367">
        <f>Patient_data[[#This Row],[Appointment_Date]]-Patient_data[[#This Row],[Booking_Date]]</f>
        <v>64</v>
      </c>
    </row>
    <row r="368" spans="1:15" x14ac:dyDescent="0.25">
      <c r="A368">
        <v>1082</v>
      </c>
      <c r="B368">
        <v>61</v>
      </c>
      <c r="C368" t="s">
        <v>378</v>
      </c>
      <c r="D368" t="s">
        <v>753</v>
      </c>
      <c r="E368" t="s">
        <v>17</v>
      </c>
      <c r="F368" s="3">
        <v>45966</v>
      </c>
      <c r="G368" s="1">
        <f>YEAR(Patient_data[[#This Row],[Appointment_Date]])</f>
        <v>2025</v>
      </c>
      <c r="H368" s="2" t="str">
        <f>TEXT(Patient_data[[#This Row],[Appointment_Date]],"mmmm")</f>
        <v>November</v>
      </c>
      <c r="I368" s="3" t="str">
        <f>TEXT(Patient_data[[#This Row],[Appointment_Date]],"mmm-yyyy")</f>
        <v>Nov-2025</v>
      </c>
      <c r="J368" s="3">
        <v>45920</v>
      </c>
      <c r="K368" t="s">
        <v>407</v>
      </c>
      <c r="L368" t="s">
        <v>30</v>
      </c>
      <c r="M368" s="4">
        <v>45.09</v>
      </c>
      <c r="N368" t="s">
        <v>20</v>
      </c>
      <c r="O368">
        <f>Patient_data[[#This Row],[Appointment_Date]]-Patient_data[[#This Row],[Booking_Date]]</f>
        <v>46</v>
      </c>
    </row>
    <row r="369" spans="1:15" x14ac:dyDescent="0.25">
      <c r="A369">
        <v>1006</v>
      </c>
      <c r="B369">
        <v>61</v>
      </c>
      <c r="C369" t="s">
        <v>378</v>
      </c>
      <c r="D369" t="s">
        <v>754</v>
      </c>
      <c r="E369" t="s">
        <v>17</v>
      </c>
      <c r="F369" s="3">
        <v>45975</v>
      </c>
      <c r="G369" s="1">
        <f>YEAR(Patient_data[[#This Row],[Appointment_Date]])</f>
        <v>2025</v>
      </c>
      <c r="H369" s="2" t="str">
        <f>TEXT(Patient_data[[#This Row],[Appointment_Date]],"mmmm")</f>
        <v>November</v>
      </c>
      <c r="I369" s="3" t="str">
        <f>TEXT(Patient_data[[#This Row],[Appointment_Date]],"mmm-yyyy")</f>
        <v>Nov-2025</v>
      </c>
      <c r="J369" s="3">
        <v>45422</v>
      </c>
      <c r="K369" t="s">
        <v>755</v>
      </c>
      <c r="L369" t="s">
        <v>43</v>
      </c>
      <c r="M369" s="4">
        <v>8.2799999999999994</v>
      </c>
      <c r="N369" t="s">
        <v>20</v>
      </c>
      <c r="O369">
        <f>Patient_data[[#This Row],[Appointment_Date]]-Patient_data[[#This Row],[Booking_Date]]</f>
        <v>553</v>
      </c>
    </row>
    <row r="370" spans="1:15" x14ac:dyDescent="0.25">
      <c r="A370">
        <v>1068</v>
      </c>
      <c r="B370">
        <v>60</v>
      </c>
      <c r="C370" t="s">
        <v>756</v>
      </c>
      <c r="D370" t="s">
        <v>757</v>
      </c>
      <c r="E370" t="s">
        <v>28</v>
      </c>
      <c r="F370" s="3">
        <v>46072</v>
      </c>
      <c r="G370" s="1">
        <f>YEAR(Patient_data[[#This Row],[Appointment_Date]])</f>
        <v>2026</v>
      </c>
      <c r="H370" s="2" t="str">
        <f>TEXT(Patient_data[[#This Row],[Appointment_Date]],"mmmm")</f>
        <v>February</v>
      </c>
      <c r="I370" s="3" t="str">
        <f>TEXT(Patient_data[[#This Row],[Appointment_Date]],"mmm-yyyy")</f>
        <v>Feb-2026</v>
      </c>
      <c r="J370" s="3">
        <v>45609</v>
      </c>
      <c r="K370" t="s">
        <v>758</v>
      </c>
      <c r="L370" t="s">
        <v>19</v>
      </c>
      <c r="M370" s="4">
        <v>1.77</v>
      </c>
      <c r="N370" t="s">
        <v>24</v>
      </c>
      <c r="O370">
        <f>Patient_data[[#This Row],[Appointment_Date]]-Patient_data[[#This Row],[Booking_Date]]</f>
        <v>463</v>
      </c>
    </row>
    <row r="371" spans="1:15" x14ac:dyDescent="0.25">
      <c r="A371">
        <v>1050</v>
      </c>
      <c r="B371">
        <v>60</v>
      </c>
      <c r="C371" t="s">
        <v>756</v>
      </c>
      <c r="D371" t="s">
        <v>759</v>
      </c>
      <c r="E371" t="s">
        <v>28</v>
      </c>
      <c r="F371" s="3">
        <v>45933</v>
      </c>
      <c r="G371" s="1">
        <f>YEAR(Patient_data[[#This Row],[Appointment_Date]])</f>
        <v>2025</v>
      </c>
      <c r="H371" s="2" t="str">
        <f>TEXT(Patient_data[[#This Row],[Appointment_Date]],"mmmm")</f>
        <v>October</v>
      </c>
      <c r="I371" s="3" t="str">
        <f>TEXT(Patient_data[[#This Row],[Appointment_Date]],"mmm-yyyy")</f>
        <v>Oct-2025</v>
      </c>
      <c r="J371" s="3">
        <v>45895</v>
      </c>
      <c r="K371" t="s">
        <v>760</v>
      </c>
      <c r="L371" t="s">
        <v>23</v>
      </c>
      <c r="M371" s="4">
        <v>43.78</v>
      </c>
      <c r="N371" t="s">
        <v>24</v>
      </c>
      <c r="O371">
        <f>Patient_data[[#This Row],[Appointment_Date]]-Patient_data[[#This Row],[Booking_Date]]</f>
        <v>38</v>
      </c>
    </row>
    <row r="372" spans="1:15" x14ac:dyDescent="0.25">
      <c r="A372">
        <v>1062</v>
      </c>
      <c r="B372">
        <v>60</v>
      </c>
      <c r="C372" t="s">
        <v>756</v>
      </c>
      <c r="D372" t="s">
        <v>761</v>
      </c>
      <c r="E372" t="s">
        <v>17</v>
      </c>
      <c r="F372" s="3">
        <v>46049</v>
      </c>
      <c r="G372" s="1">
        <f>YEAR(Patient_data[[#This Row],[Appointment_Date]])</f>
        <v>2026</v>
      </c>
      <c r="H372" s="2" t="str">
        <f>TEXT(Patient_data[[#This Row],[Appointment_Date]],"mmmm")</f>
        <v>January</v>
      </c>
      <c r="I372" s="3" t="str">
        <f>TEXT(Patient_data[[#This Row],[Appointment_Date]],"mmm-yyyy")</f>
        <v>Jan-2026</v>
      </c>
      <c r="J372" s="3">
        <v>46040</v>
      </c>
      <c r="K372" t="s">
        <v>762</v>
      </c>
      <c r="L372" t="s">
        <v>30</v>
      </c>
      <c r="M372" s="4">
        <v>53.42</v>
      </c>
      <c r="N372" t="s">
        <v>20</v>
      </c>
      <c r="O372">
        <f>Patient_data[[#This Row],[Appointment_Date]]-Patient_data[[#This Row],[Booking_Date]]</f>
        <v>9</v>
      </c>
    </row>
    <row r="373" spans="1:15" x14ac:dyDescent="0.25">
      <c r="A373">
        <v>1013</v>
      </c>
      <c r="B373">
        <v>60</v>
      </c>
      <c r="C373" t="s">
        <v>756</v>
      </c>
      <c r="D373" t="s">
        <v>763</v>
      </c>
      <c r="E373" t="s">
        <v>17</v>
      </c>
      <c r="F373" s="3">
        <v>45759</v>
      </c>
      <c r="G373" s="1">
        <f>YEAR(Patient_data[[#This Row],[Appointment_Date]])</f>
        <v>2025</v>
      </c>
      <c r="H373" s="2" t="str">
        <f>TEXT(Patient_data[[#This Row],[Appointment_Date]],"mmmm")</f>
        <v>April</v>
      </c>
      <c r="I373" s="3" t="str">
        <f>TEXT(Patient_data[[#This Row],[Appointment_Date]],"mmm-yyyy")</f>
        <v>Apr-2025</v>
      </c>
      <c r="J373" s="3">
        <v>45680</v>
      </c>
      <c r="K373" t="s">
        <v>764</v>
      </c>
      <c r="L373" t="s">
        <v>19</v>
      </c>
      <c r="M373" s="4">
        <v>6.94</v>
      </c>
      <c r="N373" t="s">
        <v>24</v>
      </c>
      <c r="O373">
        <f>Patient_data[[#This Row],[Appointment_Date]]-Patient_data[[#This Row],[Booking_Date]]</f>
        <v>79</v>
      </c>
    </row>
    <row r="374" spans="1:15" x14ac:dyDescent="0.25">
      <c r="A374">
        <v>1035</v>
      </c>
      <c r="B374">
        <v>60</v>
      </c>
      <c r="C374" t="s">
        <v>756</v>
      </c>
      <c r="D374" t="s">
        <v>765</v>
      </c>
      <c r="E374" t="s">
        <v>28</v>
      </c>
      <c r="F374" s="3">
        <v>45974</v>
      </c>
      <c r="G374" s="1">
        <f>YEAR(Patient_data[[#This Row],[Appointment_Date]])</f>
        <v>2025</v>
      </c>
      <c r="H374" s="2" t="str">
        <f>TEXT(Patient_data[[#This Row],[Appointment_Date]],"mmmm")</f>
        <v>November</v>
      </c>
      <c r="I374" s="3" t="str">
        <f>TEXT(Patient_data[[#This Row],[Appointment_Date]],"mmm-yyyy")</f>
        <v>Nov-2025</v>
      </c>
      <c r="J374" s="3">
        <v>45831</v>
      </c>
      <c r="K374" t="s">
        <v>766</v>
      </c>
      <c r="L374" t="s">
        <v>30</v>
      </c>
      <c r="M374" s="4">
        <v>9.19</v>
      </c>
      <c r="N374" t="s">
        <v>20</v>
      </c>
      <c r="O374">
        <f>Patient_data[[#This Row],[Appointment_Date]]-Patient_data[[#This Row],[Booking_Date]]</f>
        <v>143</v>
      </c>
    </row>
    <row r="375" spans="1:15" x14ac:dyDescent="0.25">
      <c r="A375">
        <v>1011</v>
      </c>
      <c r="B375">
        <v>60</v>
      </c>
      <c r="C375" t="s">
        <v>756</v>
      </c>
      <c r="D375" t="s">
        <v>767</v>
      </c>
      <c r="E375" t="s">
        <v>17</v>
      </c>
      <c r="F375" s="3">
        <v>45830</v>
      </c>
      <c r="G375" s="1">
        <f>YEAR(Patient_data[[#This Row],[Appointment_Date]])</f>
        <v>2025</v>
      </c>
      <c r="H375" s="2" t="str">
        <f>TEXT(Patient_data[[#This Row],[Appointment_Date]],"mmmm")</f>
        <v>June</v>
      </c>
      <c r="I375" s="3" t="str">
        <f>TEXT(Patient_data[[#This Row],[Appointment_Date]],"mmm-yyyy")</f>
        <v>Jun-2025</v>
      </c>
      <c r="J375" s="3">
        <v>45408</v>
      </c>
      <c r="K375" t="s">
        <v>768</v>
      </c>
      <c r="L375" t="s">
        <v>30</v>
      </c>
      <c r="M375" s="4">
        <v>125.6</v>
      </c>
      <c r="N375" t="s">
        <v>20</v>
      </c>
      <c r="O375">
        <f>Patient_data[[#This Row],[Appointment_Date]]-Patient_data[[#This Row],[Booking_Date]]</f>
        <v>422</v>
      </c>
    </row>
    <row r="376" spans="1:15" x14ac:dyDescent="0.25">
      <c r="A376">
        <v>1095</v>
      </c>
      <c r="B376">
        <v>60</v>
      </c>
      <c r="C376" t="s">
        <v>756</v>
      </c>
      <c r="D376" t="s">
        <v>769</v>
      </c>
      <c r="E376" t="s">
        <v>28</v>
      </c>
      <c r="F376" s="3">
        <v>46013</v>
      </c>
      <c r="G376" s="1">
        <f>YEAR(Patient_data[[#This Row],[Appointment_Date]])</f>
        <v>2025</v>
      </c>
      <c r="H376" s="2" t="str">
        <f>TEXT(Patient_data[[#This Row],[Appointment_Date]],"mmmm")</f>
        <v>December</v>
      </c>
      <c r="I376" s="3" t="str">
        <f>TEXT(Patient_data[[#This Row],[Appointment_Date]],"mmm-yyyy")</f>
        <v>Dec-2025</v>
      </c>
      <c r="J376" s="3">
        <v>45429</v>
      </c>
      <c r="K376" t="s">
        <v>770</v>
      </c>
      <c r="L376" t="s">
        <v>23</v>
      </c>
      <c r="M376" s="4">
        <v>204.86</v>
      </c>
      <c r="N376" t="s">
        <v>24</v>
      </c>
      <c r="O376">
        <f>Patient_data[[#This Row],[Appointment_Date]]-Patient_data[[#This Row],[Booking_Date]]</f>
        <v>584</v>
      </c>
    </row>
    <row r="377" spans="1:15" x14ac:dyDescent="0.25">
      <c r="A377">
        <v>1057</v>
      </c>
      <c r="B377">
        <v>60</v>
      </c>
      <c r="C377" t="s">
        <v>756</v>
      </c>
      <c r="D377" t="s">
        <v>771</v>
      </c>
      <c r="E377" t="s">
        <v>28</v>
      </c>
      <c r="F377" s="3">
        <v>46048</v>
      </c>
      <c r="G377" s="1">
        <f>YEAR(Patient_data[[#This Row],[Appointment_Date]])</f>
        <v>2026</v>
      </c>
      <c r="H377" s="2" t="str">
        <f>TEXT(Patient_data[[#This Row],[Appointment_Date]],"mmmm")</f>
        <v>January</v>
      </c>
      <c r="I377" s="3" t="str">
        <f>TEXT(Patient_data[[#This Row],[Appointment_Date]],"mmm-yyyy")</f>
        <v>Jan-2026</v>
      </c>
      <c r="J377" s="3">
        <v>45565</v>
      </c>
      <c r="K377" t="s">
        <v>772</v>
      </c>
      <c r="L377" t="s">
        <v>23</v>
      </c>
      <c r="M377" s="4">
        <v>81.400000000000006</v>
      </c>
      <c r="N377" t="s">
        <v>24</v>
      </c>
      <c r="O377">
        <f>Patient_data[[#This Row],[Appointment_Date]]-Patient_data[[#This Row],[Booking_Date]]</f>
        <v>483</v>
      </c>
    </row>
    <row r="378" spans="1:15" x14ac:dyDescent="0.25">
      <c r="A378">
        <v>1067</v>
      </c>
      <c r="B378">
        <v>60</v>
      </c>
      <c r="C378" t="s">
        <v>756</v>
      </c>
      <c r="D378" t="s">
        <v>773</v>
      </c>
      <c r="E378" t="s">
        <v>17</v>
      </c>
      <c r="F378" s="3">
        <v>45969</v>
      </c>
      <c r="G378" s="1">
        <f>YEAR(Patient_data[[#This Row],[Appointment_Date]])</f>
        <v>2025</v>
      </c>
      <c r="H378" s="2" t="str">
        <f>TEXT(Patient_data[[#This Row],[Appointment_Date]],"mmmm")</f>
        <v>November</v>
      </c>
      <c r="I378" s="3" t="str">
        <f>TEXT(Patient_data[[#This Row],[Appointment_Date]],"mmm-yyyy")</f>
        <v>Nov-2025</v>
      </c>
      <c r="J378" s="3">
        <v>45746</v>
      </c>
      <c r="K378" t="s">
        <v>774</v>
      </c>
      <c r="L378" t="s">
        <v>30</v>
      </c>
      <c r="M378" s="4">
        <v>34.26</v>
      </c>
      <c r="N378" t="s">
        <v>20</v>
      </c>
      <c r="O378">
        <f>Patient_data[[#This Row],[Appointment_Date]]-Patient_data[[#This Row],[Booking_Date]]</f>
        <v>223</v>
      </c>
    </row>
    <row r="379" spans="1:15" x14ac:dyDescent="0.25">
      <c r="A379">
        <v>1050</v>
      </c>
      <c r="B379">
        <v>60</v>
      </c>
      <c r="C379" t="s">
        <v>756</v>
      </c>
      <c r="D379" t="s">
        <v>775</v>
      </c>
      <c r="E379" t="s">
        <v>28</v>
      </c>
      <c r="F379" s="3">
        <v>45783</v>
      </c>
      <c r="G379" s="1">
        <f>YEAR(Patient_data[[#This Row],[Appointment_Date]])</f>
        <v>2025</v>
      </c>
      <c r="H379" s="2" t="str">
        <f>TEXT(Patient_data[[#This Row],[Appointment_Date]],"mmmm")</f>
        <v>May</v>
      </c>
      <c r="I379" s="3" t="str">
        <f>TEXT(Patient_data[[#This Row],[Appointment_Date]],"mmm-yyyy")</f>
        <v>May-2025</v>
      </c>
      <c r="J379" s="3">
        <v>45576</v>
      </c>
      <c r="K379" t="s">
        <v>776</v>
      </c>
      <c r="L379" t="s">
        <v>23</v>
      </c>
      <c r="M379" s="4">
        <v>53.66</v>
      </c>
      <c r="N379" t="s">
        <v>24</v>
      </c>
      <c r="O379">
        <f>Patient_data[[#This Row],[Appointment_Date]]-Patient_data[[#This Row],[Booking_Date]]</f>
        <v>207</v>
      </c>
    </row>
    <row r="380" spans="1:15" x14ac:dyDescent="0.25">
      <c r="A380">
        <v>1010</v>
      </c>
      <c r="B380">
        <v>60</v>
      </c>
      <c r="C380" t="s">
        <v>756</v>
      </c>
      <c r="D380" t="s">
        <v>777</v>
      </c>
      <c r="E380" t="s">
        <v>17</v>
      </c>
      <c r="F380" s="3">
        <v>46048</v>
      </c>
      <c r="G380" s="1">
        <f>YEAR(Patient_data[[#This Row],[Appointment_Date]])</f>
        <v>2026</v>
      </c>
      <c r="H380" s="2" t="str">
        <f>TEXT(Patient_data[[#This Row],[Appointment_Date]],"mmmm")</f>
        <v>January</v>
      </c>
      <c r="I380" s="3" t="str">
        <f>TEXT(Patient_data[[#This Row],[Appointment_Date]],"mmm-yyyy")</f>
        <v>Jan-2026</v>
      </c>
      <c r="J380" s="3">
        <v>45421</v>
      </c>
      <c r="K380" t="s">
        <v>778</v>
      </c>
      <c r="L380" t="s">
        <v>30</v>
      </c>
      <c r="M380" s="4">
        <v>222.33</v>
      </c>
      <c r="N380" t="s">
        <v>24</v>
      </c>
      <c r="O380">
        <f>Patient_data[[#This Row],[Appointment_Date]]-Patient_data[[#This Row],[Booking_Date]]</f>
        <v>627</v>
      </c>
    </row>
    <row r="381" spans="1:15" x14ac:dyDescent="0.25">
      <c r="A381">
        <v>1100</v>
      </c>
      <c r="B381">
        <v>60</v>
      </c>
      <c r="C381" t="s">
        <v>756</v>
      </c>
      <c r="D381" t="s">
        <v>779</v>
      </c>
      <c r="E381" t="s">
        <v>17</v>
      </c>
      <c r="F381" s="3">
        <v>46068</v>
      </c>
      <c r="G381" s="1">
        <f>YEAR(Patient_data[[#This Row],[Appointment_Date]])</f>
        <v>2026</v>
      </c>
      <c r="H381" s="2" t="str">
        <f>TEXT(Patient_data[[#This Row],[Appointment_Date]],"mmmm")</f>
        <v>February</v>
      </c>
      <c r="I381" s="3" t="str">
        <f>TEXT(Patient_data[[#This Row],[Appointment_Date]],"mmm-yyyy")</f>
        <v>Feb-2026</v>
      </c>
      <c r="J381" s="3">
        <v>45396</v>
      </c>
      <c r="K381" t="s">
        <v>780</v>
      </c>
      <c r="L381" t="s">
        <v>19</v>
      </c>
      <c r="M381" s="4">
        <v>455.57</v>
      </c>
      <c r="N381" t="s">
        <v>24</v>
      </c>
      <c r="O381">
        <f>Patient_data[[#This Row],[Appointment_Date]]-Patient_data[[#This Row],[Booking_Date]]</f>
        <v>672</v>
      </c>
    </row>
    <row r="382" spans="1:15" x14ac:dyDescent="0.25">
      <c r="A382">
        <v>1100</v>
      </c>
      <c r="B382">
        <v>60</v>
      </c>
      <c r="C382" t="s">
        <v>756</v>
      </c>
      <c r="D382" t="s">
        <v>781</v>
      </c>
      <c r="E382" t="s">
        <v>28</v>
      </c>
      <c r="F382" s="3">
        <v>45907</v>
      </c>
      <c r="G382" s="1">
        <f>YEAR(Patient_data[[#This Row],[Appointment_Date]])</f>
        <v>2025</v>
      </c>
      <c r="H382" s="2" t="str">
        <f>TEXT(Patient_data[[#This Row],[Appointment_Date]],"mmmm")</f>
        <v>September</v>
      </c>
      <c r="I382" s="3" t="str">
        <f>TEXT(Patient_data[[#This Row],[Appointment_Date]],"mmm-yyyy")</f>
        <v>Sep-2025</v>
      </c>
      <c r="J382" s="3">
        <v>45395</v>
      </c>
      <c r="K382" t="s">
        <v>782</v>
      </c>
      <c r="L382" t="s">
        <v>43</v>
      </c>
      <c r="M382" s="4">
        <v>433.05</v>
      </c>
      <c r="N382" t="s">
        <v>24</v>
      </c>
      <c r="O382">
        <f>Patient_data[[#This Row],[Appointment_Date]]-Patient_data[[#This Row],[Booking_Date]]</f>
        <v>512</v>
      </c>
    </row>
    <row r="383" spans="1:15" x14ac:dyDescent="0.25">
      <c r="A383">
        <v>1094</v>
      </c>
      <c r="B383">
        <v>60</v>
      </c>
      <c r="C383" t="s">
        <v>756</v>
      </c>
      <c r="D383" t="s">
        <v>783</v>
      </c>
      <c r="E383" t="s">
        <v>28</v>
      </c>
      <c r="F383" s="3">
        <v>45888</v>
      </c>
      <c r="G383" s="1">
        <f>YEAR(Patient_data[[#This Row],[Appointment_Date]])</f>
        <v>2025</v>
      </c>
      <c r="H383" s="2" t="str">
        <f>TEXT(Patient_data[[#This Row],[Appointment_Date]],"mmmm")</f>
        <v>August</v>
      </c>
      <c r="I383" s="3" t="str">
        <f>TEXT(Patient_data[[#This Row],[Appointment_Date]],"mmm-yyyy")</f>
        <v>Aug-2025</v>
      </c>
      <c r="J383" s="3">
        <v>45680</v>
      </c>
      <c r="K383" t="s">
        <v>784</v>
      </c>
      <c r="L383" t="s">
        <v>19</v>
      </c>
      <c r="M383" s="4">
        <v>21.74</v>
      </c>
      <c r="N383" t="s">
        <v>24</v>
      </c>
      <c r="O383">
        <f>Patient_data[[#This Row],[Appointment_Date]]-Patient_data[[#This Row],[Booking_Date]]</f>
        <v>208</v>
      </c>
    </row>
    <row r="384" spans="1:15" x14ac:dyDescent="0.25">
      <c r="A384">
        <v>1024</v>
      </c>
      <c r="B384">
        <v>60</v>
      </c>
      <c r="C384" t="s">
        <v>756</v>
      </c>
      <c r="D384" t="s">
        <v>785</v>
      </c>
      <c r="E384" t="s">
        <v>28</v>
      </c>
      <c r="F384" s="3">
        <v>45858</v>
      </c>
      <c r="G384" s="1">
        <f>YEAR(Patient_data[[#This Row],[Appointment_Date]])</f>
        <v>2025</v>
      </c>
      <c r="H384" s="2" t="str">
        <f>TEXT(Patient_data[[#This Row],[Appointment_Date]],"mmmm")</f>
        <v>July</v>
      </c>
      <c r="I384" s="3" t="str">
        <f>TEXT(Patient_data[[#This Row],[Appointment_Date]],"mmm-yyyy")</f>
        <v>Jul-2025</v>
      </c>
      <c r="J384" s="3">
        <v>45617</v>
      </c>
      <c r="K384" t="s">
        <v>786</v>
      </c>
      <c r="L384" t="s">
        <v>30</v>
      </c>
      <c r="M384" s="4">
        <v>340.54</v>
      </c>
      <c r="N384" t="s">
        <v>20</v>
      </c>
      <c r="O384">
        <f>Patient_data[[#This Row],[Appointment_Date]]-Patient_data[[#This Row],[Booking_Date]]</f>
        <v>241</v>
      </c>
    </row>
    <row r="385" spans="1:15" x14ac:dyDescent="0.25">
      <c r="A385">
        <v>1042</v>
      </c>
      <c r="B385">
        <v>60</v>
      </c>
      <c r="C385" t="s">
        <v>756</v>
      </c>
      <c r="D385" t="s">
        <v>787</v>
      </c>
      <c r="E385" t="s">
        <v>28</v>
      </c>
      <c r="F385" s="3">
        <v>45744</v>
      </c>
      <c r="G385" s="1">
        <f>YEAR(Patient_data[[#This Row],[Appointment_Date]])</f>
        <v>2025</v>
      </c>
      <c r="H385" s="2" t="str">
        <f>TEXT(Patient_data[[#This Row],[Appointment_Date]],"mmmm")</f>
        <v>March</v>
      </c>
      <c r="I385" s="3" t="str">
        <f>TEXT(Patient_data[[#This Row],[Appointment_Date]],"mmm-yyyy")</f>
        <v>Mar-2025</v>
      </c>
      <c r="J385" s="3">
        <v>45610</v>
      </c>
      <c r="K385" t="s">
        <v>788</v>
      </c>
      <c r="L385" t="s">
        <v>43</v>
      </c>
      <c r="M385" s="4">
        <v>98.48</v>
      </c>
      <c r="N385" t="s">
        <v>24</v>
      </c>
      <c r="O385">
        <f>Patient_data[[#This Row],[Appointment_Date]]-Patient_data[[#This Row],[Booking_Date]]</f>
        <v>134</v>
      </c>
    </row>
    <row r="386" spans="1:15" x14ac:dyDescent="0.25">
      <c r="A386">
        <v>1052</v>
      </c>
      <c r="B386">
        <v>59</v>
      </c>
      <c r="C386" t="s">
        <v>756</v>
      </c>
      <c r="D386" t="s">
        <v>789</v>
      </c>
      <c r="E386" t="s">
        <v>17</v>
      </c>
      <c r="F386" s="3">
        <v>46095</v>
      </c>
      <c r="G386" s="1">
        <f>YEAR(Patient_data[[#This Row],[Appointment_Date]])</f>
        <v>2026</v>
      </c>
      <c r="H386" s="2" t="str">
        <f>TEXT(Patient_data[[#This Row],[Appointment_Date]],"mmmm")</f>
        <v>March</v>
      </c>
      <c r="I386" s="3" t="str">
        <f>TEXT(Patient_data[[#This Row],[Appointment_Date]],"mmm-yyyy")</f>
        <v>Mar-2026</v>
      </c>
      <c r="J386" s="3">
        <v>45683</v>
      </c>
      <c r="K386" t="s">
        <v>790</v>
      </c>
      <c r="L386" t="s">
        <v>43</v>
      </c>
      <c r="M386" s="4">
        <v>15.64</v>
      </c>
      <c r="N386" t="s">
        <v>20</v>
      </c>
      <c r="O386">
        <f>Patient_data[[#This Row],[Appointment_Date]]-Patient_data[[#This Row],[Booking_Date]]</f>
        <v>412</v>
      </c>
    </row>
    <row r="387" spans="1:15" x14ac:dyDescent="0.25">
      <c r="A387">
        <v>1049</v>
      </c>
      <c r="B387">
        <v>59</v>
      </c>
      <c r="C387" t="s">
        <v>756</v>
      </c>
      <c r="D387" t="s">
        <v>791</v>
      </c>
      <c r="E387" t="s">
        <v>17</v>
      </c>
      <c r="F387" s="3">
        <v>45975</v>
      </c>
      <c r="G387" s="1">
        <f>YEAR(Patient_data[[#This Row],[Appointment_Date]])</f>
        <v>2025</v>
      </c>
      <c r="H387" s="2" t="str">
        <f>TEXT(Patient_data[[#This Row],[Appointment_Date]],"mmmm")</f>
        <v>November</v>
      </c>
      <c r="I387" s="3" t="str">
        <f>TEXT(Patient_data[[#This Row],[Appointment_Date]],"mmm-yyyy")</f>
        <v>Nov-2025</v>
      </c>
      <c r="J387" s="3">
        <v>45770</v>
      </c>
      <c r="K387" t="s">
        <v>792</v>
      </c>
      <c r="L387" t="s">
        <v>19</v>
      </c>
      <c r="M387" s="4">
        <v>1.19</v>
      </c>
      <c r="N387" t="s">
        <v>20</v>
      </c>
      <c r="O387">
        <f>Patient_data[[#This Row],[Appointment_Date]]-Patient_data[[#This Row],[Booking_Date]]</f>
        <v>205</v>
      </c>
    </row>
    <row r="388" spans="1:15" x14ac:dyDescent="0.25">
      <c r="A388">
        <v>1012</v>
      </c>
      <c r="B388">
        <v>59</v>
      </c>
      <c r="C388" t="s">
        <v>756</v>
      </c>
      <c r="D388" t="s">
        <v>793</v>
      </c>
      <c r="E388" t="s">
        <v>28</v>
      </c>
      <c r="F388" s="3">
        <v>45778</v>
      </c>
      <c r="G388" s="1">
        <f>YEAR(Patient_data[[#This Row],[Appointment_Date]])</f>
        <v>2025</v>
      </c>
      <c r="H388" s="2" t="str">
        <f>TEXT(Patient_data[[#This Row],[Appointment_Date]],"mmmm")</f>
        <v>May</v>
      </c>
      <c r="I388" s="3" t="str">
        <f>TEXT(Patient_data[[#This Row],[Appointment_Date]],"mmm-yyyy")</f>
        <v>May-2025</v>
      </c>
      <c r="J388" s="3">
        <v>45567</v>
      </c>
      <c r="K388" t="s">
        <v>794</v>
      </c>
      <c r="L388" t="s">
        <v>23</v>
      </c>
      <c r="M388" s="4">
        <v>156.71</v>
      </c>
      <c r="N388" t="s">
        <v>24</v>
      </c>
      <c r="O388">
        <f>Patient_data[[#This Row],[Appointment_Date]]-Patient_data[[#This Row],[Booking_Date]]</f>
        <v>211</v>
      </c>
    </row>
    <row r="389" spans="1:15" x14ac:dyDescent="0.25">
      <c r="A389">
        <v>1036</v>
      </c>
      <c r="B389">
        <v>59</v>
      </c>
      <c r="C389" t="s">
        <v>756</v>
      </c>
      <c r="D389" t="s">
        <v>795</v>
      </c>
      <c r="E389" t="s">
        <v>28</v>
      </c>
      <c r="F389" s="3">
        <v>45946</v>
      </c>
      <c r="G389" s="1">
        <f>YEAR(Patient_data[[#This Row],[Appointment_Date]])</f>
        <v>2025</v>
      </c>
      <c r="H389" s="2" t="str">
        <f>TEXT(Patient_data[[#This Row],[Appointment_Date]],"mmmm")</f>
        <v>October</v>
      </c>
      <c r="I389" s="3" t="str">
        <f>TEXT(Patient_data[[#This Row],[Appointment_Date]],"mmm-yyyy")</f>
        <v>Oct-2025</v>
      </c>
      <c r="J389" s="3">
        <v>45411</v>
      </c>
      <c r="K389" t="s">
        <v>796</v>
      </c>
      <c r="L389" t="s">
        <v>30</v>
      </c>
      <c r="M389" s="4">
        <v>85.44</v>
      </c>
      <c r="N389" t="s">
        <v>24</v>
      </c>
      <c r="O389">
        <f>Patient_data[[#This Row],[Appointment_Date]]-Patient_data[[#This Row],[Booking_Date]]</f>
        <v>535</v>
      </c>
    </row>
    <row r="390" spans="1:15" x14ac:dyDescent="0.25">
      <c r="A390">
        <v>1094</v>
      </c>
      <c r="B390">
        <v>59</v>
      </c>
      <c r="C390" t="s">
        <v>756</v>
      </c>
      <c r="D390" t="s">
        <v>797</v>
      </c>
      <c r="E390" t="s">
        <v>28</v>
      </c>
      <c r="F390" s="3">
        <v>46079</v>
      </c>
      <c r="G390" s="1">
        <f>YEAR(Patient_data[[#This Row],[Appointment_Date]])</f>
        <v>2026</v>
      </c>
      <c r="H390" s="2" t="str">
        <f>TEXT(Patient_data[[#This Row],[Appointment_Date]],"mmmm")</f>
        <v>February</v>
      </c>
      <c r="I390" s="3" t="str">
        <f>TEXT(Patient_data[[#This Row],[Appointment_Date]],"mmm-yyyy")</f>
        <v>Feb-2026</v>
      </c>
      <c r="J390" s="3">
        <v>45529</v>
      </c>
      <c r="K390" t="s">
        <v>798</v>
      </c>
      <c r="L390" t="s">
        <v>19</v>
      </c>
      <c r="M390" s="4">
        <v>3.61</v>
      </c>
      <c r="N390" t="s">
        <v>20</v>
      </c>
      <c r="O390">
        <f>Patient_data[[#This Row],[Appointment_Date]]-Patient_data[[#This Row],[Booking_Date]]</f>
        <v>550</v>
      </c>
    </row>
    <row r="391" spans="1:15" x14ac:dyDescent="0.25">
      <c r="A391">
        <v>1083</v>
      </c>
      <c r="B391">
        <v>59</v>
      </c>
      <c r="C391" t="s">
        <v>756</v>
      </c>
      <c r="D391" t="s">
        <v>799</v>
      </c>
      <c r="E391" t="s">
        <v>17</v>
      </c>
      <c r="F391" s="3">
        <v>45918</v>
      </c>
      <c r="G391" s="1">
        <f>YEAR(Patient_data[[#This Row],[Appointment_Date]])</f>
        <v>2025</v>
      </c>
      <c r="H391" s="2" t="str">
        <f>TEXT(Patient_data[[#This Row],[Appointment_Date]],"mmmm")</f>
        <v>September</v>
      </c>
      <c r="I391" s="3" t="str">
        <f>TEXT(Patient_data[[#This Row],[Appointment_Date]],"mmm-yyyy")</f>
        <v>Sep-2025</v>
      </c>
      <c r="J391" s="3">
        <v>45458</v>
      </c>
      <c r="K391" t="s">
        <v>800</v>
      </c>
      <c r="L391" t="s">
        <v>19</v>
      </c>
      <c r="M391" s="4">
        <v>219.5</v>
      </c>
      <c r="N391" t="s">
        <v>24</v>
      </c>
      <c r="O391">
        <f>Patient_data[[#This Row],[Appointment_Date]]-Patient_data[[#This Row],[Booking_Date]]</f>
        <v>460</v>
      </c>
    </row>
    <row r="392" spans="1:15" x14ac:dyDescent="0.25">
      <c r="A392">
        <v>1058</v>
      </c>
      <c r="B392">
        <v>59</v>
      </c>
      <c r="C392" t="s">
        <v>756</v>
      </c>
      <c r="D392" t="s">
        <v>801</v>
      </c>
      <c r="E392" t="s">
        <v>28</v>
      </c>
      <c r="F392" s="3">
        <v>46096</v>
      </c>
      <c r="G392" s="1">
        <f>YEAR(Patient_data[[#This Row],[Appointment_Date]])</f>
        <v>2026</v>
      </c>
      <c r="H392" s="2" t="str">
        <f>TEXT(Patient_data[[#This Row],[Appointment_Date]],"mmmm")</f>
        <v>March</v>
      </c>
      <c r="I392" s="3" t="str">
        <f>TEXT(Patient_data[[#This Row],[Appointment_Date]],"mmm-yyyy")</f>
        <v>Mar-2026</v>
      </c>
      <c r="J392" s="3">
        <v>45663</v>
      </c>
      <c r="K392" t="s">
        <v>802</v>
      </c>
      <c r="L392" t="s">
        <v>43</v>
      </c>
      <c r="M392" s="4">
        <v>63.52</v>
      </c>
      <c r="N392" t="s">
        <v>20</v>
      </c>
      <c r="O392">
        <f>Patient_data[[#This Row],[Appointment_Date]]-Patient_data[[#This Row],[Booking_Date]]</f>
        <v>433</v>
      </c>
    </row>
    <row r="393" spans="1:15" x14ac:dyDescent="0.25">
      <c r="A393">
        <v>1068</v>
      </c>
      <c r="B393">
        <v>59</v>
      </c>
      <c r="C393" t="s">
        <v>756</v>
      </c>
      <c r="D393" t="s">
        <v>803</v>
      </c>
      <c r="E393" t="s">
        <v>28</v>
      </c>
      <c r="F393" s="3">
        <v>45866</v>
      </c>
      <c r="G393" s="1">
        <f>YEAR(Patient_data[[#This Row],[Appointment_Date]])</f>
        <v>2025</v>
      </c>
      <c r="H393" s="2" t="str">
        <f>TEXT(Patient_data[[#This Row],[Appointment_Date]],"mmmm")</f>
        <v>July</v>
      </c>
      <c r="I393" s="3" t="str">
        <f>TEXT(Patient_data[[#This Row],[Appointment_Date]],"mmm-yyyy")</f>
        <v>Jul-2025</v>
      </c>
      <c r="J393" s="3">
        <v>45492</v>
      </c>
      <c r="K393" t="s">
        <v>804</v>
      </c>
      <c r="L393" t="s">
        <v>30</v>
      </c>
      <c r="M393" s="4">
        <v>2.98</v>
      </c>
      <c r="N393" t="s">
        <v>20</v>
      </c>
      <c r="O393">
        <f>Patient_data[[#This Row],[Appointment_Date]]-Patient_data[[#This Row],[Booking_Date]]</f>
        <v>374</v>
      </c>
    </row>
    <row r="394" spans="1:15" x14ac:dyDescent="0.25">
      <c r="A394">
        <v>1030</v>
      </c>
      <c r="B394">
        <v>59</v>
      </c>
      <c r="C394" t="s">
        <v>756</v>
      </c>
      <c r="D394" t="s">
        <v>805</v>
      </c>
      <c r="E394" t="s">
        <v>17</v>
      </c>
      <c r="F394" s="3">
        <v>45991</v>
      </c>
      <c r="G394" s="1">
        <f>YEAR(Patient_data[[#This Row],[Appointment_Date]])</f>
        <v>2025</v>
      </c>
      <c r="H394" s="2" t="str">
        <f>TEXT(Patient_data[[#This Row],[Appointment_Date]],"mmmm")</f>
        <v>November</v>
      </c>
      <c r="I394" s="3" t="str">
        <f>TEXT(Patient_data[[#This Row],[Appointment_Date]],"mmm-yyyy")</f>
        <v>Nov-2025</v>
      </c>
      <c r="J394" s="3">
        <v>45870</v>
      </c>
      <c r="K394" t="s">
        <v>806</v>
      </c>
      <c r="L394" t="s">
        <v>43</v>
      </c>
      <c r="M394" s="4">
        <v>94.58</v>
      </c>
      <c r="N394" t="s">
        <v>24</v>
      </c>
      <c r="O394">
        <f>Patient_data[[#This Row],[Appointment_Date]]-Patient_data[[#This Row],[Booking_Date]]</f>
        <v>121</v>
      </c>
    </row>
    <row r="395" spans="1:15" x14ac:dyDescent="0.25">
      <c r="A395">
        <v>1098</v>
      </c>
      <c r="B395">
        <v>59</v>
      </c>
      <c r="C395" t="s">
        <v>756</v>
      </c>
      <c r="D395" t="s">
        <v>807</v>
      </c>
      <c r="E395" t="s">
        <v>28</v>
      </c>
      <c r="F395" s="3">
        <v>45940</v>
      </c>
      <c r="G395" s="1">
        <f>YEAR(Patient_data[[#This Row],[Appointment_Date]])</f>
        <v>2025</v>
      </c>
      <c r="H395" s="2" t="str">
        <f>TEXT(Patient_data[[#This Row],[Appointment_Date]],"mmmm")</f>
        <v>October</v>
      </c>
      <c r="I395" s="3" t="str">
        <f>TEXT(Patient_data[[#This Row],[Appointment_Date]],"mmm-yyyy")</f>
        <v>Oct-2025</v>
      </c>
      <c r="J395" s="3">
        <v>45522</v>
      </c>
      <c r="K395" t="s">
        <v>808</v>
      </c>
      <c r="L395" t="s">
        <v>23</v>
      </c>
      <c r="M395" s="4">
        <v>43.32</v>
      </c>
      <c r="N395" t="s">
        <v>20</v>
      </c>
      <c r="O395">
        <f>Patient_data[[#This Row],[Appointment_Date]]-Patient_data[[#This Row],[Booking_Date]]</f>
        <v>418</v>
      </c>
    </row>
    <row r="396" spans="1:15" x14ac:dyDescent="0.25">
      <c r="A396">
        <v>1094</v>
      </c>
      <c r="B396">
        <v>59</v>
      </c>
      <c r="C396" t="s">
        <v>756</v>
      </c>
      <c r="D396" t="s">
        <v>809</v>
      </c>
      <c r="E396" t="s">
        <v>17</v>
      </c>
      <c r="F396" s="3">
        <v>45816</v>
      </c>
      <c r="G396" s="1">
        <f>YEAR(Patient_data[[#This Row],[Appointment_Date]])</f>
        <v>2025</v>
      </c>
      <c r="H396" s="2" t="str">
        <f>TEXT(Patient_data[[#This Row],[Appointment_Date]],"mmmm")</f>
        <v>June</v>
      </c>
      <c r="I396" s="3" t="str">
        <f>TEXT(Patient_data[[#This Row],[Appointment_Date]],"mmm-yyyy")</f>
        <v>Jun-2025</v>
      </c>
      <c r="J396" s="3">
        <v>45652</v>
      </c>
      <c r="K396" t="s">
        <v>810</v>
      </c>
      <c r="L396" t="s">
        <v>43</v>
      </c>
      <c r="M396" s="4">
        <v>82.64</v>
      </c>
      <c r="N396" t="s">
        <v>24</v>
      </c>
      <c r="O396">
        <f>Patient_data[[#This Row],[Appointment_Date]]-Patient_data[[#This Row],[Booking_Date]]</f>
        <v>164</v>
      </c>
    </row>
    <row r="397" spans="1:15" x14ac:dyDescent="0.25">
      <c r="A397">
        <v>1061</v>
      </c>
      <c r="B397">
        <v>59</v>
      </c>
      <c r="C397" t="s">
        <v>756</v>
      </c>
      <c r="D397" t="s">
        <v>811</v>
      </c>
      <c r="E397" t="s">
        <v>28</v>
      </c>
      <c r="F397" s="3">
        <v>45942</v>
      </c>
      <c r="G397" s="1">
        <f>YEAR(Patient_data[[#This Row],[Appointment_Date]])</f>
        <v>2025</v>
      </c>
      <c r="H397" s="2" t="str">
        <f>TEXT(Patient_data[[#This Row],[Appointment_Date]],"mmmm")</f>
        <v>October</v>
      </c>
      <c r="I397" s="3" t="str">
        <f>TEXT(Patient_data[[#This Row],[Appointment_Date]],"mmm-yyyy")</f>
        <v>Oct-2025</v>
      </c>
      <c r="J397" s="3">
        <v>45823</v>
      </c>
      <c r="K397" t="s">
        <v>812</v>
      </c>
      <c r="L397" t="s">
        <v>43</v>
      </c>
      <c r="M397" s="4">
        <v>55.98</v>
      </c>
      <c r="N397" t="s">
        <v>24</v>
      </c>
      <c r="O397">
        <f>Patient_data[[#This Row],[Appointment_Date]]-Patient_data[[#This Row],[Booking_Date]]</f>
        <v>119</v>
      </c>
    </row>
    <row r="398" spans="1:15" x14ac:dyDescent="0.25">
      <c r="A398">
        <v>1072</v>
      </c>
      <c r="B398">
        <v>59</v>
      </c>
      <c r="C398" t="s">
        <v>756</v>
      </c>
      <c r="D398" t="s">
        <v>813</v>
      </c>
      <c r="E398" t="s">
        <v>28</v>
      </c>
      <c r="F398" s="3">
        <v>45772</v>
      </c>
      <c r="G398" s="1">
        <f>YEAR(Patient_data[[#This Row],[Appointment_Date]])</f>
        <v>2025</v>
      </c>
      <c r="H398" s="2" t="str">
        <f>TEXT(Patient_data[[#This Row],[Appointment_Date]],"mmmm")</f>
        <v>April</v>
      </c>
      <c r="I398" s="3" t="str">
        <f>TEXT(Patient_data[[#This Row],[Appointment_Date]],"mmm-yyyy")</f>
        <v>Apr-2025</v>
      </c>
      <c r="J398" s="3">
        <v>45412</v>
      </c>
      <c r="K398" t="s">
        <v>814</v>
      </c>
      <c r="L398" t="s">
        <v>30</v>
      </c>
      <c r="M398" s="4">
        <v>61.01</v>
      </c>
      <c r="N398" t="s">
        <v>24</v>
      </c>
      <c r="O398">
        <f>Patient_data[[#This Row],[Appointment_Date]]-Patient_data[[#This Row],[Booking_Date]]</f>
        <v>360</v>
      </c>
    </row>
    <row r="399" spans="1:15" x14ac:dyDescent="0.25">
      <c r="A399">
        <v>1075</v>
      </c>
      <c r="B399">
        <v>59</v>
      </c>
      <c r="C399" t="s">
        <v>756</v>
      </c>
      <c r="D399" t="s">
        <v>815</v>
      </c>
      <c r="E399" t="s">
        <v>17</v>
      </c>
      <c r="F399" s="3">
        <v>46101</v>
      </c>
      <c r="G399" s="1">
        <f>YEAR(Patient_data[[#This Row],[Appointment_Date]])</f>
        <v>2026</v>
      </c>
      <c r="H399" s="2" t="str">
        <f>TEXT(Patient_data[[#This Row],[Appointment_Date]],"mmmm")</f>
        <v>March</v>
      </c>
      <c r="I399" s="3" t="str">
        <f>TEXT(Patient_data[[#This Row],[Appointment_Date]],"mmm-yyyy")</f>
        <v>Mar-2026</v>
      </c>
      <c r="J399" s="3">
        <v>46015</v>
      </c>
      <c r="K399" t="s">
        <v>816</v>
      </c>
      <c r="L399" t="s">
        <v>30</v>
      </c>
      <c r="M399" s="4">
        <v>107.04</v>
      </c>
      <c r="N399" t="s">
        <v>24</v>
      </c>
      <c r="O399">
        <f>Patient_data[[#This Row],[Appointment_Date]]-Patient_data[[#This Row],[Booking_Date]]</f>
        <v>86</v>
      </c>
    </row>
    <row r="400" spans="1:15" x14ac:dyDescent="0.25">
      <c r="A400">
        <v>1095</v>
      </c>
      <c r="B400">
        <v>58</v>
      </c>
      <c r="C400" t="s">
        <v>756</v>
      </c>
      <c r="D400" t="s">
        <v>817</v>
      </c>
      <c r="E400" t="s">
        <v>28</v>
      </c>
      <c r="F400" s="3">
        <v>45812</v>
      </c>
      <c r="G400" s="1">
        <f>YEAR(Patient_data[[#This Row],[Appointment_Date]])</f>
        <v>2025</v>
      </c>
      <c r="H400" s="2" t="str">
        <f>TEXT(Patient_data[[#This Row],[Appointment_Date]],"mmmm")</f>
        <v>June</v>
      </c>
      <c r="I400" s="3" t="str">
        <f>TEXT(Patient_data[[#This Row],[Appointment_Date]],"mmm-yyyy")</f>
        <v>Jun-2025</v>
      </c>
      <c r="J400" s="3">
        <v>45683</v>
      </c>
      <c r="K400" t="s">
        <v>818</v>
      </c>
      <c r="L400" t="s">
        <v>19</v>
      </c>
      <c r="M400" s="4">
        <v>365.13</v>
      </c>
      <c r="N400" t="s">
        <v>20</v>
      </c>
      <c r="O400">
        <f>Patient_data[[#This Row],[Appointment_Date]]-Patient_data[[#This Row],[Booking_Date]]</f>
        <v>129</v>
      </c>
    </row>
    <row r="401" spans="1:15" x14ac:dyDescent="0.25">
      <c r="A401">
        <v>1100</v>
      </c>
      <c r="B401">
        <v>58</v>
      </c>
      <c r="C401" t="s">
        <v>756</v>
      </c>
      <c r="D401" t="s">
        <v>819</v>
      </c>
      <c r="E401" t="s">
        <v>17</v>
      </c>
      <c r="F401" s="3">
        <v>45841</v>
      </c>
      <c r="G401" s="1">
        <f>YEAR(Patient_data[[#This Row],[Appointment_Date]])</f>
        <v>2025</v>
      </c>
      <c r="H401" s="2" t="str">
        <f>TEXT(Patient_data[[#This Row],[Appointment_Date]],"mmmm")</f>
        <v>July</v>
      </c>
      <c r="I401" s="3" t="str">
        <f>TEXT(Patient_data[[#This Row],[Appointment_Date]],"mmm-yyyy")</f>
        <v>Jul-2025</v>
      </c>
      <c r="J401" s="3">
        <v>45529</v>
      </c>
      <c r="K401" t="s">
        <v>820</v>
      </c>
      <c r="L401" t="s">
        <v>19</v>
      </c>
      <c r="M401" s="4">
        <v>329.25</v>
      </c>
      <c r="N401" t="s">
        <v>20</v>
      </c>
      <c r="O401">
        <f>Patient_data[[#This Row],[Appointment_Date]]-Patient_data[[#This Row],[Booking_Date]]</f>
        <v>312</v>
      </c>
    </row>
    <row r="402" spans="1:15" x14ac:dyDescent="0.25">
      <c r="A402">
        <v>1035</v>
      </c>
      <c r="B402">
        <v>58</v>
      </c>
      <c r="C402" t="s">
        <v>756</v>
      </c>
      <c r="D402" t="s">
        <v>821</v>
      </c>
      <c r="E402" t="s">
        <v>17</v>
      </c>
      <c r="F402" s="3">
        <v>46045</v>
      </c>
      <c r="G402" s="1">
        <f>YEAR(Patient_data[[#This Row],[Appointment_Date]])</f>
        <v>2026</v>
      </c>
      <c r="H402" s="2" t="str">
        <f>TEXT(Patient_data[[#This Row],[Appointment_Date]],"mmmm")</f>
        <v>January</v>
      </c>
      <c r="I402" s="3" t="str">
        <f>TEXT(Patient_data[[#This Row],[Appointment_Date]],"mmm-yyyy")</f>
        <v>Jan-2026</v>
      </c>
      <c r="J402" s="3">
        <v>45396</v>
      </c>
      <c r="K402" t="s">
        <v>822</v>
      </c>
      <c r="L402" t="s">
        <v>30</v>
      </c>
      <c r="M402" s="4">
        <v>53.05</v>
      </c>
      <c r="N402" t="s">
        <v>24</v>
      </c>
      <c r="O402">
        <f>Patient_data[[#This Row],[Appointment_Date]]-Patient_data[[#This Row],[Booking_Date]]</f>
        <v>649</v>
      </c>
    </row>
    <row r="403" spans="1:15" x14ac:dyDescent="0.25">
      <c r="A403">
        <v>1043</v>
      </c>
      <c r="B403">
        <v>58</v>
      </c>
      <c r="C403" t="s">
        <v>756</v>
      </c>
      <c r="D403" t="s">
        <v>823</v>
      </c>
      <c r="E403" t="s">
        <v>28</v>
      </c>
      <c r="F403" s="3">
        <v>45967</v>
      </c>
      <c r="G403" s="1">
        <f>YEAR(Patient_data[[#This Row],[Appointment_Date]])</f>
        <v>2025</v>
      </c>
      <c r="H403" s="2" t="str">
        <f>TEXT(Patient_data[[#This Row],[Appointment_Date]],"mmmm")</f>
        <v>November</v>
      </c>
      <c r="I403" s="3" t="str">
        <f>TEXT(Patient_data[[#This Row],[Appointment_Date]],"mmm-yyyy")</f>
        <v>Nov-2025</v>
      </c>
      <c r="J403" s="3">
        <v>45792</v>
      </c>
      <c r="K403" t="s">
        <v>824</v>
      </c>
      <c r="L403" t="s">
        <v>30</v>
      </c>
      <c r="M403" s="4">
        <v>26.97</v>
      </c>
      <c r="N403" t="s">
        <v>20</v>
      </c>
      <c r="O403">
        <f>Patient_data[[#This Row],[Appointment_Date]]-Patient_data[[#This Row],[Booking_Date]]</f>
        <v>175</v>
      </c>
    </row>
    <row r="404" spans="1:15" x14ac:dyDescent="0.25">
      <c r="A404">
        <v>1083</v>
      </c>
      <c r="B404">
        <v>58</v>
      </c>
      <c r="C404" t="s">
        <v>756</v>
      </c>
      <c r="D404" t="s">
        <v>825</v>
      </c>
      <c r="E404" t="s">
        <v>17</v>
      </c>
      <c r="F404" s="3">
        <v>46039</v>
      </c>
      <c r="G404" s="1">
        <f>YEAR(Patient_data[[#This Row],[Appointment_Date]])</f>
        <v>2026</v>
      </c>
      <c r="H404" s="2" t="str">
        <f>TEXT(Patient_data[[#This Row],[Appointment_Date]],"mmmm")</f>
        <v>January</v>
      </c>
      <c r="I404" s="3" t="str">
        <f>TEXT(Patient_data[[#This Row],[Appointment_Date]],"mmm-yyyy")</f>
        <v>Jan-2026</v>
      </c>
      <c r="J404" s="3">
        <v>45859</v>
      </c>
      <c r="K404" t="s">
        <v>826</v>
      </c>
      <c r="L404" t="s">
        <v>30</v>
      </c>
      <c r="M404" s="4">
        <v>44.78</v>
      </c>
      <c r="N404" t="s">
        <v>20</v>
      </c>
      <c r="O404">
        <f>Patient_data[[#This Row],[Appointment_Date]]-Patient_data[[#This Row],[Booking_Date]]</f>
        <v>180</v>
      </c>
    </row>
    <row r="405" spans="1:15" x14ac:dyDescent="0.25">
      <c r="A405">
        <v>1057</v>
      </c>
      <c r="B405">
        <v>58</v>
      </c>
      <c r="C405" t="s">
        <v>756</v>
      </c>
      <c r="D405" t="s">
        <v>827</v>
      </c>
      <c r="E405" t="s">
        <v>28</v>
      </c>
      <c r="F405" s="3">
        <v>45908</v>
      </c>
      <c r="G405" s="1">
        <f>YEAR(Patient_data[[#This Row],[Appointment_Date]])</f>
        <v>2025</v>
      </c>
      <c r="H405" s="2" t="str">
        <f>TEXT(Patient_data[[#This Row],[Appointment_Date]],"mmmm")</f>
        <v>September</v>
      </c>
      <c r="I405" s="3" t="str">
        <f>TEXT(Patient_data[[#This Row],[Appointment_Date]],"mmm-yyyy")</f>
        <v>Sep-2025</v>
      </c>
      <c r="J405" s="3">
        <v>45712</v>
      </c>
      <c r="K405" t="s">
        <v>828</v>
      </c>
      <c r="L405" t="s">
        <v>30</v>
      </c>
      <c r="M405" s="4">
        <v>4.79</v>
      </c>
      <c r="N405" t="s">
        <v>20</v>
      </c>
      <c r="O405">
        <f>Patient_data[[#This Row],[Appointment_Date]]-Patient_data[[#This Row],[Booking_Date]]</f>
        <v>196</v>
      </c>
    </row>
    <row r="406" spans="1:15" x14ac:dyDescent="0.25">
      <c r="A406">
        <v>1049</v>
      </c>
      <c r="B406">
        <v>58</v>
      </c>
      <c r="C406" t="s">
        <v>756</v>
      </c>
      <c r="D406" t="s">
        <v>829</v>
      </c>
      <c r="E406" t="s">
        <v>28</v>
      </c>
      <c r="F406" s="3">
        <v>45876</v>
      </c>
      <c r="G406" s="1">
        <f>YEAR(Patient_data[[#This Row],[Appointment_Date]])</f>
        <v>2025</v>
      </c>
      <c r="H406" s="2" t="str">
        <f>TEXT(Patient_data[[#This Row],[Appointment_Date]],"mmmm")</f>
        <v>August</v>
      </c>
      <c r="I406" s="3" t="str">
        <f>TEXT(Patient_data[[#This Row],[Appointment_Date]],"mmm-yyyy")</f>
        <v>Aug-2025</v>
      </c>
      <c r="J406" s="3">
        <v>45659</v>
      </c>
      <c r="K406" t="s">
        <v>830</v>
      </c>
      <c r="L406" t="s">
        <v>30</v>
      </c>
      <c r="M406" s="4">
        <v>474.33</v>
      </c>
      <c r="N406" t="s">
        <v>24</v>
      </c>
      <c r="O406">
        <f>Patient_data[[#This Row],[Appointment_Date]]-Patient_data[[#This Row],[Booking_Date]]</f>
        <v>217</v>
      </c>
    </row>
    <row r="407" spans="1:15" x14ac:dyDescent="0.25">
      <c r="A407">
        <v>1070</v>
      </c>
      <c r="B407">
        <v>58</v>
      </c>
      <c r="C407" t="s">
        <v>756</v>
      </c>
      <c r="D407" t="s">
        <v>831</v>
      </c>
      <c r="E407" t="s">
        <v>28</v>
      </c>
      <c r="F407" s="3">
        <v>45992</v>
      </c>
      <c r="G407" s="1">
        <f>YEAR(Patient_data[[#This Row],[Appointment_Date]])</f>
        <v>2025</v>
      </c>
      <c r="H407" s="2" t="str">
        <f>TEXT(Patient_data[[#This Row],[Appointment_Date]],"mmmm")</f>
        <v>December</v>
      </c>
      <c r="I407" s="3" t="str">
        <f>TEXT(Patient_data[[#This Row],[Appointment_Date]],"mmm-yyyy")</f>
        <v>Dec-2025</v>
      </c>
      <c r="J407" s="3">
        <v>45655</v>
      </c>
      <c r="K407" t="s">
        <v>832</v>
      </c>
      <c r="L407" t="s">
        <v>23</v>
      </c>
      <c r="M407" s="4">
        <v>58.98</v>
      </c>
      <c r="N407" t="s">
        <v>20</v>
      </c>
      <c r="O407">
        <f>Patient_data[[#This Row],[Appointment_Date]]-Patient_data[[#This Row],[Booking_Date]]</f>
        <v>337</v>
      </c>
    </row>
    <row r="408" spans="1:15" x14ac:dyDescent="0.25">
      <c r="A408">
        <v>1033</v>
      </c>
      <c r="B408">
        <v>58</v>
      </c>
      <c r="C408" t="s">
        <v>756</v>
      </c>
      <c r="D408" t="s">
        <v>833</v>
      </c>
      <c r="E408" t="s">
        <v>17</v>
      </c>
      <c r="F408" s="3">
        <v>45801</v>
      </c>
      <c r="G408" s="1">
        <f>YEAR(Patient_data[[#This Row],[Appointment_Date]])</f>
        <v>2025</v>
      </c>
      <c r="H408" s="2" t="str">
        <f>TEXT(Patient_data[[#This Row],[Appointment_Date]],"mmmm")</f>
        <v>May</v>
      </c>
      <c r="I408" s="3" t="str">
        <f>TEXT(Patient_data[[#This Row],[Appointment_Date]],"mmm-yyyy")</f>
        <v>May-2025</v>
      </c>
      <c r="J408" s="3">
        <v>45544</v>
      </c>
      <c r="K408" t="s">
        <v>834</v>
      </c>
      <c r="L408" t="s">
        <v>43</v>
      </c>
      <c r="M408" s="4">
        <v>98.42</v>
      </c>
      <c r="N408" t="s">
        <v>24</v>
      </c>
      <c r="O408">
        <f>Patient_data[[#This Row],[Appointment_Date]]-Patient_data[[#This Row],[Booking_Date]]</f>
        <v>257</v>
      </c>
    </row>
    <row r="409" spans="1:15" x14ac:dyDescent="0.25">
      <c r="A409">
        <v>1039</v>
      </c>
      <c r="B409">
        <v>58</v>
      </c>
      <c r="C409" t="s">
        <v>756</v>
      </c>
      <c r="D409" t="s">
        <v>835</v>
      </c>
      <c r="E409" t="s">
        <v>17</v>
      </c>
      <c r="F409" s="3">
        <v>45753</v>
      </c>
      <c r="G409" s="1">
        <f>YEAR(Patient_data[[#This Row],[Appointment_Date]])</f>
        <v>2025</v>
      </c>
      <c r="H409" s="2" t="str">
        <f>TEXT(Patient_data[[#This Row],[Appointment_Date]],"mmmm")</f>
        <v>April</v>
      </c>
      <c r="I409" s="3" t="str">
        <f>TEXT(Patient_data[[#This Row],[Appointment_Date]],"mmm-yyyy")</f>
        <v>Apr-2025</v>
      </c>
      <c r="J409" s="3">
        <v>45509</v>
      </c>
      <c r="K409" t="s">
        <v>836</v>
      </c>
      <c r="L409" t="s">
        <v>19</v>
      </c>
      <c r="M409" s="4">
        <v>82.36</v>
      </c>
      <c r="N409" t="s">
        <v>24</v>
      </c>
      <c r="O409">
        <f>Patient_data[[#This Row],[Appointment_Date]]-Patient_data[[#This Row],[Booking_Date]]</f>
        <v>244</v>
      </c>
    </row>
    <row r="410" spans="1:15" x14ac:dyDescent="0.25">
      <c r="A410">
        <v>1092</v>
      </c>
      <c r="B410">
        <v>58</v>
      </c>
      <c r="C410" t="s">
        <v>756</v>
      </c>
      <c r="D410" t="s">
        <v>837</v>
      </c>
      <c r="E410" t="s">
        <v>17</v>
      </c>
      <c r="F410" s="3">
        <v>45843</v>
      </c>
      <c r="G410" s="1">
        <f>YEAR(Patient_data[[#This Row],[Appointment_Date]])</f>
        <v>2025</v>
      </c>
      <c r="H410" s="2" t="str">
        <f>TEXT(Patient_data[[#This Row],[Appointment_Date]],"mmmm")</f>
        <v>July</v>
      </c>
      <c r="I410" s="3" t="str">
        <f>TEXT(Patient_data[[#This Row],[Appointment_Date]],"mmm-yyyy")</f>
        <v>Jul-2025</v>
      </c>
      <c r="J410" s="3">
        <v>45793</v>
      </c>
      <c r="K410" t="s">
        <v>838</v>
      </c>
      <c r="L410" t="s">
        <v>23</v>
      </c>
      <c r="M410" s="4">
        <v>9.8000000000000007</v>
      </c>
      <c r="N410" t="s">
        <v>24</v>
      </c>
      <c r="O410">
        <f>Patient_data[[#This Row],[Appointment_Date]]-Patient_data[[#This Row],[Booking_Date]]</f>
        <v>50</v>
      </c>
    </row>
    <row r="411" spans="1:15" x14ac:dyDescent="0.25">
      <c r="A411">
        <v>1077</v>
      </c>
      <c r="B411">
        <v>58</v>
      </c>
      <c r="C411" t="s">
        <v>756</v>
      </c>
      <c r="D411" t="s">
        <v>839</v>
      </c>
      <c r="E411" t="s">
        <v>28</v>
      </c>
      <c r="F411" s="3">
        <v>46106</v>
      </c>
      <c r="G411" s="1">
        <f>YEAR(Patient_data[[#This Row],[Appointment_Date]])</f>
        <v>2026</v>
      </c>
      <c r="H411" s="2" t="str">
        <f>TEXT(Patient_data[[#This Row],[Appointment_Date]],"mmmm")</f>
        <v>March</v>
      </c>
      <c r="I411" s="3" t="str">
        <f>TEXT(Patient_data[[#This Row],[Appointment_Date]],"mmm-yyyy")</f>
        <v>Mar-2026</v>
      </c>
      <c r="J411" s="3">
        <v>45954</v>
      </c>
      <c r="K411" t="s">
        <v>840</v>
      </c>
      <c r="L411" t="s">
        <v>19</v>
      </c>
      <c r="M411" s="4">
        <v>99.03</v>
      </c>
      <c r="N411" t="s">
        <v>20</v>
      </c>
      <c r="O411">
        <f>Patient_data[[#This Row],[Appointment_Date]]-Patient_data[[#This Row],[Booking_Date]]</f>
        <v>152</v>
      </c>
    </row>
    <row r="412" spans="1:15" x14ac:dyDescent="0.25">
      <c r="A412">
        <v>1063</v>
      </c>
      <c r="B412">
        <v>58</v>
      </c>
      <c r="C412" t="s">
        <v>756</v>
      </c>
      <c r="D412" t="s">
        <v>841</v>
      </c>
      <c r="E412" t="s">
        <v>28</v>
      </c>
      <c r="F412" s="3">
        <v>46078</v>
      </c>
      <c r="G412" s="1">
        <f>YEAR(Patient_data[[#This Row],[Appointment_Date]])</f>
        <v>2026</v>
      </c>
      <c r="H412" s="2" t="str">
        <f>TEXT(Patient_data[[#This Row],[Appointment_Date]],"mmmm")</f>
        <v>February</v>
      </c>
      <c r="I412" s="3" t="str">
        <f>TEXT(Patient_data[[#This Row],[Appointment_Date]],"mmm-yyyy")</f>
        <v>Feb-2026</v>
      </c>
      <c r="J412" s="3">
        <v>45594</v>
      </c>
      <c r="K412" t="s">
        <v>842</v>
      </c>
      <c r="L412" t="s">
        <v>19</v>
      </c>
      <c r="M412" s="4">
        <v>48.76</v>
      </c>
      <c r="N412" t="s">
        <v>20</v>
      </c>
      <c r="O412">
        <f>Patient_data[[#This Row],[Appointment_Date]]-Patient_data[[#This Row],[Booking_Date]]</f>
        <v>484</v>
      </c>
    </row>
    <row r="413" spans="1:15" x14ac:dyDescent="0.25">
      <c r="A413">
        <v>1074</v>
      </c>
      <c r="B413">
        <v>57</v>
      </c>
      <c r="C413" t="s">
        <v>756</v>
      </c>
      <c r="D413" t="s">
        <v>843</v>
      </c>
      <c r="E413" t="s">
        <v>17</v>
      </c>
      <c r="F413" s="3">
        <v>45770</v>
      </c>
      <c r="G413" s="1">
        <f>YEAR(Patient_data[[#This Row],[Appointment_Date]])</f>
        <v>2025</v>
      </c>
      <c r="H413" s="2" t="str">
        <f>TEXT(Patient_data[[#This Row],[Appointment_Date]],"mmmm")</f>
        <v>April</v>
      </c>
      <c r="I413" s="3" t="str">
        <f>TEXT(Patient_data[[#This Row],[Appointment_Date]],"mmm-yyyy")</f>
        <v>Apr-2025</v>
      </c>
      <c r="J413" s="3">
        <v>45744</v>
      </c>
      <c r="K413" t="s">
        <v>844</v>
      </c>
      <c r="L413" t="s">
        <v>19</v>
      </c>
      <c r="M413" s="4">
        <v>374.63</v>
      </c>
      <c r="N413" t="s">
        <v>20</v>
      </c>
      <c r="O413">
        <f>Patient_data[[#This Row],[Appointment_Date]]-Patient_data[[#This Row],[Booking_Date]]</f>
        <v>26</v>
      </c>
    </row>
    <row r="414" spans="1:15" x14ac:dyDescent="0.25">
      <c r="A414">
        <v>1044</v>
      </c>
      <c r="B414">
        <v>57</v>
      </c>
      <c r="C414" t="s">
        <v>756</v>
      </c>
      <c r="D414" t="s">
        <v>845</v>
      </c>
      <c r="E414" t="s">
        <v>17</v>
      </c>
      <c r="F414" s="3">
        <v>45786</v>
      </c>
      <c r="G414" s="1">
        <f>YEAR(Patient_data[[#This Row],[Appointment_Date]])</f>
        <v>2025</v>
      </c>
      <c r="H414" s="2" t="str">
        <f>TEXT(Patient_data[[#This Row],[Appointment_Date]],"mmmm")</f>
        <v>May</v>
      </c>
      <c r="I414" s="3" t="str">
        <f>TEXT(Patient_data[[#This Row],[Appointment_Date]],"mmm-yyyy")</f>
        <v>May-2025</v>
      </c>
      <c r="J414" s="3">
        <v>45644</v>
      </c>
      <c r="K414" t="s">
        <v>846</v>
      </c>
      <c r="L414" t="s">
        <v>43</v>
      </c>
      <c r="M414" s="4">
        <v>383.69</v>
      </c>
      <c r="N414" t="s">
        <v>20</v>
      </c>
      <c r="O414">
        <f>Patient_data[[#This Row],[Appointment_Date]]-Patient_data[[#This Row],[Booking_Date]]</f>
        <v>142</v>
      </c>
    </row>
    <row r="415" spans="1:15" x14ac:dyDescent="0.25">
      <c r="A415">
        <v>1010</v>
      </c>
      <c r="B415">
        <v>57</v>
      </c>
      <c r="C415" t="s">
        <v>756</v>
      </c>
      <c r="D415" t="s">
        <v>847</v>
      </c>
      <c r="E415" t="s">
        <v>17</v>
      </c>
      <c r="F415" s="3">
        <v>45802</v>
      </c>
      <c r="G415" s="1">
        <f>YEAR(Patient_data[[#This Row],[Appointment_Date]])</f>
        <v>2025</v>
      </c>
      <c r="H415" s="2" t="str">
        <f>TEXT(Patient_data[[#This Row],[Appointment_Date]],"mmmm")</f>
        <v>May</v>
      </c>
      <c r="I415" s="3" t="str">
        <f>TEXT(Patient_data[[#This Row],[Appointment_Date]],"mmm-yyyy")</f>
        <v>May-2025</v>
      </c>
      <c r="J415" s="3">
        <v>45744</v>
      </c>
      <c r="K415" t="s">
        <v>848</v>
      </c>
      <c r="L415" t="s">
        <v>23</v>
      </c>
      <c r="M415" s="4">
        <v>25.83</v>
      </c>
      <c r="N415" t="s">
        <v>24</v>
      </c>
      <c r="O415">
        <f>Patient_data[[#This Row],[Appointment_Date]]-Patient_data[[#This Row],[Booking_Date]]</f>
        <v>58</v>
      </c>
    </row>
    <row r="416" spans="1:15" x14ac:dyDescent="0.25">
      <c r="A416">
        <v>1056</v>
      </c>
      <c r="B416">
        <v>57</v>
      </c>
      <c r="C416" t="s">
        <v>756</v>
      </c>
      <c r="D416" t="s">
        <v>849</v>
      </c>
      <c r="E416" t="s">
        <v>28</v>
      </c>
      <c r="F416" s="3">
        <v>45828</v>
      </c>
      <c r="G416" s="1">
        <f>YEAR(Patient_data[[#This Row],[Appointment_Date]])</f>
        <v>2025</v>
      </c>
      <c r="H416" s="2" t="str">
        <f>TEXT(Patient_data[[#This Row],[Appointment_Date]],"mmmm")</f>
        <v>June</v>
      </c>
      <c r="I416" s="3" t="str">
        <f>TEXT(Patient_data[[#This Row],[Appointment_Date]],"mmm-yyyy")</f>
        <v>Jun-2025</v>
      </c>
      <c r="J416" s="3">
        <v>45701</v>
      </c>
      <c r="K416" t="s">
        <v>850</v>
      </c>
      <c r="L416" t="s">
        <v>19</v>
      </c>
      <c r="M416" s="4">
        <v>86.61</v>
      </c>
      <c r="N416" t="s">
        <v>24</v>
      </c>
      <c r="O416">
        <f>Patient_data[[#This Row],[Appointment_Date]]-Patient_data[[#This Row],[Booking_Date]]</f>
        <v>127</v>
      </c>
    </row>
    <row r="417" spans="1:15" x14ac:dyDescent="0.25">
      <c r="A417">
        <v>1058</v>
      </c>
      <c r="B417">
        <v>57</v>
      </c>
      <c r="C417" t="s">
        <v>756</v>
      </c>
      <c r="D417" t="s">
        <v>851</v>
      </c>
      <c r="E417" t="s">
        <v>17</v>
      </c>
      <c r="F417" s="3">
        <v>45960</v>
      </c>
      <c r="G417" s="1">
        <f>YEAR(Patient_data[[#This Row],[Appointment_Date]])</f>
        <v>2025</v>
      </c>
      <c r="H417" s="2" t="str">
        <f>TEXT(Patient_data[[#This Row],[Appointment_Date]],"mmmm")</f>
        <v>October</v>
      </c>
      <c r="I417" s="3" t="str">
        <f>TEXT(Patient_data[[#This Row],[Appointment_Date]],"mmm-yyyy")</f>
        <v>Oct-2025</v>
      </c>
      <c r="J417" s="3">
        <v>45531</v>
      </c>
      <c r="K417" t="s">
        <v>852</v>
      </c>
      <c r="L417" t="s">
        <v>19</v>
      </c>
      <c r="M417" s="4">
        <v>14.67</v>
      </c>
      <c r="N417" t="s">
        <v>24</v>
      </c>
      <c r="O417">
        <f>Patient_data[[#This Row],[Appointment_Date]]-Patient_data[[#This Row],[Booking_Date]]</f>
        <v>429</v>
      </c>
    </row>
    <row r="418" spans="1:15" x14ac:dyDescent="0.25">
      <c r="A418">
        <v>1038</v>
      </c>
      <c r="B418">
        <v>57</v>
      </c>
      <c r="C418" t="s">
        <v>756</v>
      </c>
      <c r="D418" t="s">
        <v>853</v>
      </c>
      <c r="E418" t="s">
        <v>28</v>
      </c>
      <c r="F418" s="3">
        <v>45776</v>
      </c>
      <c r="G418" s="1">
        <f>YEAR(Patient_data[[#This Row],[Appointment_Date]])</f>
        <v>2025</v>
      </c>
      <c r="H418" s="2" t="str">
        <f>TEXT(Patient_data[[#This Row],[Appointment_Date]],"mmmm")</f>
        <v>April</v>
      </c>
      <c r="I418" s="3" t="str">
        <f>TEXT(Patient_data[[#This Row],[Appointment_Date]],"mmm-yyyy")</f>
        <v>Apr-2025</v>
      </c>
      <c r="J418" s="3">
        <v>45398</v>
      </c>
      <c r="K418" t="s">
        <v>854</v>
      </c>
      <c r="L418" t="s">
        <v>19</v>
      </c>
      <c r="M418" s="4">
        <v>110.47</v>
      </c>
      <c r="N418" t="s">
        <v>24</v>
      </c>
      <c r="O418">
        <f>Patient_data[[#This Row],[Appointment_Date]]-Patient_data[[#This Row],[Booking_Date]]</f>
        <v>378</v>
      </c>
    </row>
    <row r="419" spans="1:15" x14ac:dyDescent="0.25">
      <c r="A419">
        <v>1059</v>
      </c>
      <c r="B419">
        <v>57</v>
      </c>
      <c r="C419" t="s">
        <v>756</v>
      </c>
      <c r="D419" t="s">
        <v>855</v>
      </c>
      <c r="E419" t="s">
        <v>17</v>
      </c>
      <c r="F419" s="3">
        <v>45896</v>
      </c>
      <c r="G419" s="1">
        <f>YEAR(Patient_data[[#This Row],[Appointment_Date]])</f>
        <v>2025</v>
      </c>
      <c r="H419" s="2" t="str">
        <f>TEXT(Patient_data[[#This Row],[Appointment_Date]],"mmmm")</f>
        <v>August</v>
      </c>
      <c r="I419" s="3" t="str">
        <f>TEXT(Patient_data[[#This Row],[Appointment_Date]],"mmm-yyyy")</f>
        <v>Aug-2025</v>
      </c>
      <c r="J419" s="3">
        <v>45387</v>
      </c>
      <c r="K419" t="s">
        <v>856</v>
      </c>
      <c r="L419" t="s">
        <v>30</v>
      </c>
      <c r="M419" s="4">
        <v>85.61</v>
      </c>
      <c r="N419" t="s">
        <v>24</v>
      </c>
      <c r="O419">
        <f>Patient_data[[#This Row],[Appointment_Date]]-Patient_data[[#This Row],[Booking_Date]]</f>
        <v>509</v>
      </c>
    </row>
    <row r="420" spans="1:15" x14ac:dyDescent="0.25">
      <c r="A420">
        <v>1053</v>
      </c>
      <c r="B420">
        <v>57</v>
      </c>
      <c r="C420" t="s">
        <v>756</v>
      </c>
      <c r="D420" t="s">
        <v>857</v>
      </c>
      <c r="E420" t="s">
        <v>17</v>
      </c>
      <c r="F420" s="3">
        <v>45836</v>
      </c>
      <c r="G420" s="1">
        <f>YEAR(Patient_data[[#This Row],[Appointment_Date]])</f>
        <v>2025</v>
      </c>
      <c r="H420" s="2" t="str">
        <f>TEXT(Patient_data[[#This Row],[Appointment_Date]],"mmmm")</f>
        <v>June</v>
      </c>
      <c r="I420" s="3" t="str">
        <f>TEXT(Patient_data[[#This Row],[Appointment_Date]],"mmm-yyyy")</f>
        <v>Jun-2025</v>
      </c>
      <c r="J420" s="3">
        <v>45598</v>
      </c>
      <c r="K420" t="s">
        <v>858</v>
      </c>
      <c r="L420" t="s">
        <v>30</v>
      </c>
      <c r="M420" s="4">
        <v>98.61</v>
      </c>
      <c r="N420" t="s">
        <v>24</v>
      </c>
      <c r="O420">
        <f>Patient_data[[#This Row],[Appointment_Date]]-Patient_data[[#This Row],[Booking_Date]]</f>
        <v>238</v>
      </c>
    </row>
    <row r="421" spans="1:15" x14ac:dyDescent="0.25">
      <c r="A421">
        <v>1054</v>
      </c>
      <c r="B421">
        <v>57</v>
      </c>
      <c r="C421" t="s">
        <v>756</v>
      </c>
      <c r="D421" t="s">
        <v>859</v>
      </c>
      <c r="E421" t="s">
        <v>17</v>
      </c>
      <c r="F421" s="3">
        <v>45939</v>
      </c>
      <c r="G421" s="1">
        <f>YEAR(Patient_data[[#This Row],[Appointment_Date]])</f>
        <v>2025</v>
      </c>
      <c r="H421" s="2" t="str">
        <f>TEXT(Patient_data[[#This Row],[Appointment_Date]],"mmmm")</f>
        <v>October</v>
      </c>
      <c r="I421" s="3" t="str">
        <f>TEXT(Patient_data[[#This Row],[Appointment_Date]],"mmm-yyyy")</f>
        <v>Oct-2025</v>
      </c>
      <c r="J421" s="3">
        <v>45733</v>
      </c>
      <c r="K421" t="s">
        <v>860</v>
      </c>
      <c r="L421" t="s">
        <v>19</v>
      </c>
      <c r="M421" s="4">
        <v>69.09</v>
      </c>
      <c r="N421" t="s">
        <v>20</v>
      </c>
      <c r="O421">
        <f>Patient_data[[#This Row],[Appointment_Date]]-Patient_data[[#This Row],[Booking_Date]]</f>
        <v>206</v>
      </c>
    </row>
    <row r="422" spans="1:15" x14ac:dyDescent="0.25">
      <c r="A422">
        <v>1082</v>
      </c>
      <c r="B422">
        <v>57</v>
      </c>
      <c r="C422" t="s">
        <v>756</v>
      </c>
      <c r="D422" t="s">
        <v>861</v>
      </c>
      <c r="E422" t="s">
        <v>17</v>
      </c>
      <c r="F422" s="3">
        <v>45965</v>
      </c>
      <c r="G422" s="1">
        <f>YEAR(Patient_data[[#This Row],[Appointment_Date]])</f>
        <v>2025</v>
      </c>
      <c r="H422" s="2" t="str">
        <f>TEXT(Patient_data[[#This Row],[Appointment_Date]],"mmmm")</f>
        <v>November</v>
      </c>
      <c r="I422" s="3" t="str">
        <f>TEXT(Patient_data[[#This Row],[Appointment_Date]],"mmm-yyyy")</f>
        <v>Nov-2025</v>
      </c>
      <c r="J422" s="3">
        <v>45737</v>
      </c>
      <c r="K422" t="s">
        <v>862</v>
      </c>
      <c r="L422" t="s">
        <v>30</v>
      </c>
      <c r="M422" s="4">
        <v>2.68</v>
      </c>
      <c r="N422" t="s">
        <v>20</v>
      </c>
      <c r="O422">
        <f>Patient_data[[#This Row],[Appointment_Date]]-Patient_data[[#This Row],[Booking_Date]]</f>
        <v>228</v>
      </c>
    </row>
    <row r="423" spans="1:15" x14ac:dyDescent="0.25">
      <c r="A423">
        <v>1077</v>
      </c>
      <c r="B423">
        <v>57</v>
      </c>
      <c r="C423" t="s">
        <v>756</v>
      </c>
      <c r="D423" t="s">
        <v>863</v>
      </c>
      <c r="E423" t="s">
        <v>28</v>
      </c>
      <c r="F423" s="3">
        <v>45995</v>
      </c>
      <c r="G423" s="1">
        <f>YEAR(Patient_data[[#This Row],[Appointment_Date]])</f>
        <v>2025</v>
      </c>
      <c r="H423" s="2" t="str">
        <f>TEXT(Patient_data[[#This Row],[Appointment_Date]],"mmmm")</f>
        <v>December</v>
      </c>
      <c r="I423" s="3" t="str">
        <f>TEXT(Patient_data[[#This Row],[Appointment_Date]],"mmm-yyyy")</f>
        <v>Dec-2025</v>
      </c>
      <c r="J423" s="3">
        <v>45577</v>
      </c>
      <c r="K423" t="s">
        <v>864</v>
      </c>
      <c r="L423" t="s">
        <v>19</v>
      </c>
      <c r="M423" s="4">
        <v>3.35</v>
      </c>
      <c r="N423" t="s">
        <v>20</v>
      </c>
      <c r="O423">
        <f>Patient_data[[#This Row],[Appointment_Date]]-Patient_data[[#This Row],[Booking_Date]]</f>
        <v>418</v>
      </c>
    </row>
    <row r="424" spans="1:15" x14ac:dyDescent="0.25">
      <c r="A424">
        <v>1031</v>
      </c>
      <c r="B424">
        <v>57</v>
      </c>
      <c r="C424" t="s">
        <v>756</v>
      </c>
      <c r="D424" t="s">
        <v>865</v>
      </c>
      <c r="E424" t="s">
        <v>17</v>
      </c>
      <c r="F424" s="3">
        <v>45808</v>
      </c>
      <c r="G424" s="1">
        <f>YEAR(Patient_data[[#This Row],[Appointment_Date]])</f>
        <v>2025</v>
      </c>
      <c r="H424" s="2" t="str">
        <f>TEXT(Patient_data[[#This Row],[Appointment_Date]],"mmmm")</f>
        <v>May</v>
      </c>
      <c r="I424" s="3" t="str">
        <f>TEXT(Patient_data[[#This Row],[Appointment_Date]],"mmm-yyyy")</f>
        <v>May-2025</v>
      </c>
      <c r="J424" s="3">
        <v>45702</v>
      </c>
      <c r="K424" t="s">
        <v>866</v>
      </c>
      <c r="L424" t="s">
        <v>43</v>
      </c>
      <c r="M424" s="4">
        <v>41.11</v>
      </c>
      <c r="N424" t="s">
        <v>20</v>
      </c>
      <c r="O424">
        <f>Patient_data[[#This Row],[Appointment_Date]]-Patient_data[[#This Row],[Booking_Date]]</f>
        <v>106</v>
      </c>
    </row>
    <row r="425" spans="1:15" x14ac:dyDescent="0.25">
      <c r="A425">
        <v>1067</v>
      </c>
      <c r="B425">
        <v>57</v>
      </c>
      <c r="C425" t="s">
        <v>756</v>
      </c>
      <c r="D425" t="s">
        <v>867</v>
      </c>
      <c r="E425" t="s">
        <v>28</v>
      </c>
      <c r="F425" s="3">
        <v>46013</v>
      </c>
      <c r="G425" s="1">
        <f>YEAR(Patient_data[[#This Row],[Appointment_Date]])</f>
        <v>2025</v>
      </c>
      <c r="H425" s="2" t="str">
        <f>TEXT(Patient_data[[#This Row],[Appointment_Date]],"mmmm")</f>
        <v>December</v>
      </c>
      <c r="I425" s="3" t="str">
        <f>TEXT(Patient_data[[#This Row],[Appointment_Date]],"mmm-yyyy")</f>
        <v>Dec-2025</v>
      </c>
      <c r="J425" s="3">
        <v>45663</v>
      </c>
      <c r="K425" t="s">
        <v>868</v>
      </c>
      <c r="L425" t="s">
        <v>19</v>
      </c>
      <c r="M425" s="4">
        <v>42.33</v>
      </c>
      <c r="N425" t="s">
        <v>20</v>
      </c>
      <c r="O425">
        <f>Patient_data[[#This Row],[Appointment_Date]]-Patient_data[[#This Row],[Booking_Date]]</f>
        <v>350</v>
      </c>
    </row>
    <row r="426" spans="1:15" x14ac:dyDescent="0.25">
      <c r="A426">
        <v>1064</v>
      </c>
      <c r="B426">
        <v>57</v>
      </c>
      <c r="C426" t="s">
        <v>756</v>
      </c>
      <c r="D426" t="s">
        <v>869</v>
      </c>
      <c r="E426" t="s">
        <v>17</v>
      </c>
      <c r="F426" s="3">
        <v>45907</v>
      </c>
      <c r="G426" s="1">
        <f>YEAR(Patient_data[[#This Row],[Appointment_Date]])</f>
        <v>2025</v>
      </c>
      <c r="H426" s="2" t="str">
        <f>TEXT(Patient_data[[#This Row],[Appointment_Date]],"mmmm")</f>
        <v>September</v>
      </c>
      <c r="I426" s="3" t="str">
        <f>TEXT(Patient_data[[#This Row],[Appointment_Date]],"mmm-yyyy")</f>
        <v>Sep-2025</v>
      </c>
      <c r="J426" s="3">
        <v>45569</v>
      </c>
      <c r="K426" t="s">
        <v>870</v>
      </c>
      <c r="L426" t="s">
        <v>23</v>
      </c>
      <c r="M426" s="4">
        <v>476.81</v>
      </c>
      <c r="N426" t="s">
        <v>20</v>
      </c>
      <c r="O426">
        <f>Patient_data[[#This Row],[Appointment_Date]]-Patient_data[[#This Row],[Booking_Date]]</f>
        <v>338</v>
      </c>
    </row>
    <row r="427" spans="1:15" x14ac:dyDescent="0.25">
      <c r="A427">
        <v>1097</v>
      </c>
      <c r="B427">
        <v>56</v>
      </c>
      <c r="C427" t="s">
        <v>756</v>
      </c>
      <c r="D427" t="s">
        <v>871</v>
      </c>
      <c r="E427" t="s">
        <v>17</v>
      </c>
      <c r="F427" s="3">
        <v>45792</v>
      </c>
      <c r="G427" s="1">
        <f>YEAR(Patient_data[[#This Row],[Appointment_Date]])</f>
        <v>2025</v>
      </c>
      <c r="H427" s="2" t="str">
        <f>TEXT(Patient_data[[#This Row],[Appointment_Date]],"mmmm")</f>
        <v>May</v>
      </c>
      <c r="I427" s="3" t="str">
        <f>TEXT(Patient_data[[#This Row],[Appointment_Date]],"mmm-yyyy")</f>
        <v>May-2025</v>
      </c>
      <c r="J427" s="3">
        <v>45417</v>
      </c>
      <c r="K427" t="s">
        <v>872</v>
      </c>
      <c r="L427" t="s">
        <v>43</v>
      </c>
      <c r="M427" s="4">
        <v>258.64</v>
      </c>
      <c r="N427" t="s">
        <v>24</v>
      </c>
      <c r="O427">
        <f>Patient_data[[#This Row],[Appointment_Date]]-Patient_data[[#This Row],[Booking_Date]]</f>
        <v>375</v>
      </c>
    </row>
    <row r="428" spans="1:15" x14ac:dyDescent="0.25">
      <c r="A428">
        <v>1089</v>
      </c>
      <c r="B428">
        <v>56</v>
      </c>
      <c r="C428" t="s">
        <v>756</v>
      </c>
      <c r="D428" t="s">
        <v>873</v>
      </c>
      <c r="E428" t="s">
        <v>17</v>
      </c>
      <c r="F428" s="3">
        <v>46071</v>
      </c>
      <c r="G428" s="1">
        <f>YEAR(Patient_data[[#This Row],[Appointment_Date]])</f>
        <v>2026</v>
      </c>
      <c r="H428" s="2" t="str">
        <f>TEXT(Patient_data[[#This Row],[Appointment_Date]],"mmmm")</f>
        <v>February</v>
      </c>
      <c r="I428" s="3" t="str">
        <f>TEXT(Patient_data[[#This Row],[Appointment_Date]],"mmm-yyyy")</f>
        <v>Feb-2026</v>
      </c>
      <c r="J428" s="3">
        <v>45634</v>
      </c>
      <c r="K428" t="s">
        <v>874</v>
      </c>
      <c r="L428" t="s">
        <v>43</v>
      </c>
      <c r="M428" s="4">
        <v>47.68</v>
      </c>
      <c r="N428" t="s">
        <v>24</v>
      </c>
      <c r="O428">
        <f>Patient_data[[#This Row],[Appointment_Date]]-Patient_data[[#This Row],[Booking_Date]]</f>
        <v>437</v>
      </c>
    </row>
    <row r="429" spans="1:15" x14ac:dyDescent="0.25">
      <c r="A429">
        <v>1028</v>
      </c>
      <c r="B429">
        <v>56</v>
      </c>
      <c r="C429" t="s">
        <v>756</v>
      </c>
      <c r="D429" t="s">
        <v>875</v>
      </c>
      <c r="E429" t="s">
        <v>17</v>
      </c>
      <c r="F429" s="3">
        <v>45960</v>
      </c>
      <c r="G429" s="1">
        <f>YEAR(Patient_data[[#This Row],[Appointment_Date]])</f>
        <v>2025</v>
      </c>
      <c r="H429" s="2" t="str">
        <f>TEXT(Patient_data[[#This Row],[Appointment_Date]],"mmmm")</f>
        <v>October</v>
      </c>
      <c r="I429" s="3" t="str">
        <f>TEXT(Patient_data[[#This Row],[Appointment_Date]],"mmm-yyyy")</f>
        <v>Oct-2025</v>
      </c>
      <c r="J429" s="3">
        <v>45430</v>
      </c>
      <c r="K429" t="s">
        <v>876</v>
      </c>
      <c r="L429" t="s">
        <v>43</v>
      </c>
      <c r="M429" s="4">
        <v>85.5</v>
      </c>
      <c r="N429" t="s">
        <v>20</v>
      </c>
      <c r="O429">
        <f>Patient_data[[#This Row],[Appointment_Date]]-Patient_data[[#This Row],[Booking_Date]]</f>
        <v>530</v>
      </c>
    </row>
    <row r="430" spans="1:15" x14ac:dyDescent="0.25">
      <c r="A430">
        <v>1033</v>
      </c>
      <c r="B430">
        <v>56</v>
      </c>
      <c r="C430" t="s">
        <v>756</v>
      </c>
      <c r="D430" t="s">
        <v>877</v>
      </c>
      <c r="E430" t="s">
        <v>17</v>
      </c>
      <c r="F430" s="3">
        <v>45968</v>
      </c>
      <c r="G430" s="1">
        <f>YEAR(Patient_data[[#This Row],[Appointment_Date]])</f>
        <v>2025</v>
      </c>
      <c r="H430" s="2" t="str">
        <f>TEXT(Patient_data[[#This Row],[Appointment_Date]],"mmmm")</f>
        <v>November</v>
      </c>
      <c r="I430" s="3" t="str">
        <f>TEXT(Patient_data[[#This Row],[Appointment_Date]],"mmm-yyyy")</f>
        <v>Nov-2025</v>
      </c>
      <c r="J430" s="3">
        <v>45632</v>
      </c>
      <c r="K430" t="s">
        <v>878</v>
      </c>
      <c r="L430" t="s">
        <v>43</v>
      </c>
      <c r="M430" s="4">
        <v>30.72</v>
      </c>
      <c r="N430" t="s">
        <v>24</v>
      </c>
      <c r="O430">
        <f>Patient_data[[#This Row],[Appointment_Date]]-Patient_data[[#This Row],[Booking_Date]]</f>
        <v>336</v>
      </c>
    </row>
    <row r="431" spans="1:15" x14ac:dyDescent="0.25">
      <c r="A431">
        <v>1083</v>
      </c>
      <c r="B431">
        <v>56</v>
      </c>
      <c r="C431" t="s">
        <v>756</v>
      </c>
      <c r="D431" t="s">
        <v>879</v>
      </c>
      <c r="E431" t="s">
        <v>28</v>
      </c>
      <c r="F431" s="3">
        <v>45754</v>
      </c>
      <c r="G431" s="1">
        <f>YEAR(Patient_data[[#This Row],[Appointment_Date]])</f>
        <v>2025</v>
      </c>
      <c r="H431" s="2" t="str">
        <f>TEXT(Patient_data[[#This Row],[Appointment_Date]],"mmmm")</f>
        <v>April</v>
      </c>
      <c r="I431" s="3" t="str">
        <f>TEXT(Patient_data[[#This Row],[Appointment_Date]],"mmm-yyyy")</f>
        <v>Apr-2025</v>
      </c>
      <c r="J431" s="3">
        <v>45665</v>
      </c>
      <c r="K431" t="s">
        <v>880</v>
      </c>
      <c r="L431" t="s">
        <v>19</v>
      </c>
      <c r="M431" s="4">
        <v>36.44</v>
      </c>
      <c r="N431" t="s">
        <v>24</v>
      </c>
      <c r="O431">
        <f>Patient_data[[#This Row],[Appointment_Date]]-Patient_data[[#This Row],[Booking_Date]]</f>
        <v>89</v>
      </c>
    </row>
    <row r="432" spans="1:15" x14ac:dyDescent="0.25">
      <c r="A432">
        <v>1078</v>
      </c>
      <c r="B432">
        <v>56</v>
      </c>
      <c r="C432" t="s">
        <v>756</v>
      </c>
      <c r="D432" t="s">
        <v>881</v>
      </c>
      <c r="E432" t="s">
        <v>28</v>
      </c>
      <c r="F432" s="3">
        <v>45743</v>
      </c>
      <c r="G432" s="1">
        <f>YEAR(Patient_data[[#This Row],[Appointment_Date]])</f>
        <v>2025</v>
      </c>
      <c r="H432" s="2" t="str">
        <f>TEXT(Patient_data[[#This Row],[Appointment_Date]],"mmmm")</f>
        <v>March</v>
      </c>
      <c r="I432" s="3" t="str">
        <f>TEXT(Patient_data[[#This Row],[Appointment_Date]],"mmm-yyyy")</f>
        <v>Mar-2025</v>
      </c>
      <c r="J432" s="3">
        <v>45432</v>
      </c>
      <c r="K432" t="s">
        <v>882</v>
      </c>
      <c r="L432" t="s">
        <v>43</v>
      </c>
      <c r="M432" s="4">
        <v>35.950000000000003</v>
      </c>
      <c r="N432" t="s">
        <v>24</v>
      </c>
      <c r="O432">
        <f>Patient_data[[#This Row],[Appointment_Date]]-Patient_data[[#This Row],[Booking_Date]]</f>
        <v>311</v>
      </c>
    </row>
    <row r="433" spans="1:15" x14ac:dyDescent="0.25">
      <c r="A433">
        <v>1006</v>
      </c>
      <c r="B433">
        <v>56</v>
      </c>
      <c r="C433" t="s">
        <v>756</v>
      </c>
      <c r="D433" t="s">
        <v>883</v>
      </c>
      <c r="E433" t="s">
        <v>17</v>
      </c>
      <c r="F433" s="3">
        <v>46056</v>
      </c>
      <c r="G433" s="1">
        <f>YEAR(Patient_data[[#This Row],[Appointment_Date]])</f>
        <v>2026</v>
      </c>
      <c r="H433" s="2" t="str">
        <f>TEXT(Patient_data[[#This Row],[Appointment_Date]],"mmmm")</f>
        <v>February</v>
      </c>
      <c r="I433" s="3" t="str">
        <f>TEXT(Patient_data[[#This Row],[Appointment_Date]],"mmm-yyyy")</f>
        <v>Feb-2026</v>
      </c>
      <c r="J433" s="3">
        <v>45520</v>
      </c>
      <c r="K433" t="s">
        <v>884</v>
      </c>
      <c r="L433" t="s">
        <v>23</v>
      </c>
      <c r="M433" s="4">
        <v>86.43</v>
      </c>
      <c r="N433" t="s">
        <v>24</v>
      </c>
      <c r="O433">
        <f>Patient_data[[#This Row],[Appointment_Date]]-Patient_data[[#This Row],[Booking_Date]]</f>
        <v>536</v>
      </c>
    </row>
    <row r="434" spans="1:15" x14ac:dyDescent="0.25">
      <c r="A434">
        <v>1022</v>
      </c>
      <c r="B434">
        <v>56</v>
      </c>
      <c r="C434" t="s">
        <v>756</v>
      </c>
      <c r="D434" t="s">
        <v>885</v>
      </c>
      <c r="E434" t="s">
        <v>17</v>
      </c>
      <c r="F434" s="3">
        <v>45824</v>
      </c>
      <c r="G434" s="1">
        <f>YEAR(Patient_data[[#This Row],[Appointment_Date]])</f>
        <v>2025</v>
      </c>
      <c r="H434" s="2" t="str">
        <f>TEXT(Patient_data[[#This Row],[Appointment_Date]],"mmmm")</f>
        <v>June</v>
      </c>
      <c r="I434" s="3" t="str">
        <f>TEXT(Patient_data[[#This Row],[Appointment_Date]],"mmm-yyyy")</f>
        <v>Jun-2025</v>
      </c>
      <c r="J434" s="3">
        <v>45443</v>
      </c>
      <c r="K434" t="s">
        <v>886</v>
      </c>
      <c r="L434" t="s">
        <v>30</v>
      </c>
      <c r="M434" s="4">
        <v>57.36</v>
      </c>
      <c r="N434" t="s">
        <v>20</v>
      </c>
      <c r="O434">
        <f>Patient_data[[#This Row],[Appointment_Date]]-Patient_data[[#This Row],[Booking_Date]]</f>
        <v>381</v>
      </c>
    </row>
    <row r="435" spans="1:15" x14ac:dyDescent="0.25">
      <c r="A435">
        <v>1070</v>
      </c>
      <c r="B435">
        <v>56</v>
      </c>
      <c r="C435" t="s">
        <v>756</v>
      </c>
      <c r="D435" t="s">
        <v>887</v>
      </c>
      <c r="E435" t="s">
        <v>17</v>
      </c>
      <c r="F435" s="3">
        <v>45919</v>
      </c>
      <c r="G435" s="1">
        <f>YEAR(Patient_data[[#This Row],[Appointment_Date]])</f>
        <v>2025</v>
      </c>
      <c r="H435" s="2" t="str">
        <f>TEXT(Patient_data[[#This Row],[Appointment_Date]],"mmmm")</f>
        <v>September</v>
      </c>
      <c r="I435" s="3" t="str">
        <f>TEXT(Patient_data[[#This Row],[Appointment_Date]],"mmm-yyyy")</f>
        <v>Sep-2025</v>
      </c>
      <c r="J435" s="3">
        <v>45563</v>
      </c>
      <c r="K435" t="s">
        <v>888</v>
      </c>
      <c r="L435" t="s">
        <v>30</v>
      </c>
      <c r="M435" s="4">
        <v>50.37</v>
      </c>
      <c r="N435" t="s">
        <v>24</v>
      </c>
      <c r="O435">
        <f>Patient_data[[#This Row],[Appointment_Date]]-Patient_data[[#This Row],[Booking_Date]]</f>
        <v>356</v>
      </c>
    </row>
    <row r="436" spans="1:15" x14ac:dyDescent="0.25">
      <c r="A436">
        <v>1032</v>
      </c>
      <c r="B436">
        <v>56</v>
      </c>
      <c r="C436" t="s">
        <v>756</v>
      </c>
      <c r="D436" t="s">
        <v>889</v>
      </c>
      <c r="E436" t="s">
        <v>28</v>
      </c>
      <c r="F436" s="3">
        <v>45927</v>
      </c>
      <c r="G436" s="1">
        <f>YEAR(Patient_data[[#This Row],[Appointment_Date]])</f>
        <v>2025</v>
      </c>
      <c r="H436" s="2" t="str">
        <f>TEXT(Patient_data[[#This Row],[Appointment_Date]],"mmmm")</f>
        <v>September</v>
      </c>
      <c r="I436" s="3" t="str">
        <f>TEXT(Patient_data[[#This Row],[Appointment_Date]],"mmm-yyyy")</f>
        <v>Sep-2025</v>
      </c>
      <c r="J436" s="3">
        <v>45693</v>
      </c>
      <c r="K436" t="s">
        <v>890</v>
      </c>
      <c r="L436" t="s">
        <v>30</v>
      </c>
      <c r="M436" s="4">
        <v>9.17</v>
      </c>
      <c r="N436" t="s">
        <v>20</v>
      </c>
      <c r="O436">
        <f>Patient_data[[#This Row],[Appointment_Date]]-Patient_data[[#This Row],[Booking_Date]]</f>
        <v>234</v>
      </c>
    </row>
    <row r="437" spans="1:15" x14ac:dyDescent="0.25">
      <c r="A437">
        <v>1083</v>
      </c>
      <c r="B437">
        <v>56</v>
      </c>
      <c r="C437" t="s">
        <v>756</v>
      </c>
      <c r="D437" t="s">
        <v>891</v>
      </c>
      <c r="E437" t="s">
        <v>28</v>
      </c>
      <c r="F437" s="3">
        <v>45979</v>
      </c>
      <c r="G437" s="1">
        <f>YEAR(Patient_data[[#This Row],[Appointment_Date]])</f>
        <v>2025</v>
      </c>
      <c r="H437" s="2" t="str">
        <f>TEXT(Patient_data[[#This Row],[Appointment_Date]],"mmmm")</f>
        <v>November</v>
      </c>
      <c r="I437" s="3" t="str">
        <f>TEXT(Patient_data[[#This Row],[Appointment_Date]],"mmm-yyyy")</f>
        <v>Nov-2025</v>
      </c>
      <c r="J437" s="3">
        <v>45695</v>
      </c>
      <c r="K437" t="s">
        <v>892</v>
      </c>
      <c r="L437" t="s">
        <v>30</v>
      </c>
      <c r="M437" s="4">
        <v>412.44</v>
      </c>
      <c r="N437" t="s">
        <v>20</v>
      </c>
      <c r="O437">
        <f>Patient_data[[#This Row],[Appointment_Date]]-Patient_data[[#This Row],[Booking_Date]]</f>
        <v>284</v>
      </c>
    </row>
    <row r="438" spans="1:15" x14ac:dyDescent="0.25">
      <c r="A438">
        <v>1018</v>
      </c>
      <c r="B438">
        <v>56</v>
      </c>
      <c r="C438" t="s">
        <v>756</v>
      </c>
      <c r="D438" t="s">
        <v>893</v>
      </c>
      <c r="E438" t="s">
        <v>28</v>
      </c>
      <c r="F438" s="3">
        <v>46081</v>
      </c>
      <c r="G438" s="1">
        <f>YEAR(Patient_data[[#This Row],[Appointment_Date]])</f>
        <v>2026</v>
      </c>
      <c r="H438" s="2" t="str">
        <f>TEXT(Patient_data[[#This Row],[Appointment_Date]],"mmmm")</f>
        <v>February</v>
      </c>
      <c r="I438" s="3" t="str">
        <f>TEXT(Patient_data[[#This Row],[Appointment_Date]],"mmm-yyyy")</f>
        <v>Feb-2026</v>
      </c>
      <c r="J438" s="3">
        <v>45696</v>
      </c>
      <c r="K438" t="s">
        <v>894</v>
      </c>
      <c r="L438" t="s">
        <v>30</v>
      </c>
      <c r="M438" s="4">
        <v>68.8</v>
      </c>
      <c r="N438" t="s">
        <v>24</v>
      </c>
      <c r="O438">
        <f>Patient_data[[#This Row],[Appointment_Date]]-Patient_data[[#This Row],[Booking_Date]]</f>
        <v>385</v>
      </c>
    </row>
    <row r="439" spans="1:15" x14ac:dyDescent="0.25">
      <c r="A439">
        <v>1095</v>
      </c>
      <c r="B439">
        <v>56</v>
      </c>
      <c r="C439" t="s">
        <v>756</v>
      </c>
      <c r="D439" t="s">
        <v>895</v>
      </c>
      <c r="E439" t="s">
        <v>28</v>
      </c>
      <c r="F439" s="3">
        <v>45812</v>
      </c>
      <c r="G439" s="1">
        <f>YEAR(Patient_data[[#This Row],[Appointment_Date]])</f>
        <v>2025</v>
      </c>
      <c r="H439" s="2" t="str">
        <f>TEXT(Patient_data[[#This Row],[Appointment_Date]],"mmmm")</f>
        <v>June</v>
      </c>
      <c r="I439" s="3" t="str">
        <f>TEXT(Patient_data[[#This Row],[Appointment_Date]],"mmm-yyyy")</f>
        <v>Jun-2025</v>
      </c>
      <c r="J439" s="3">
        <v>45441</v>
      </c>
      <c r="K439" t="s">
        <v>896</v>
      </c>
      <c r="L439" t="s">
        <v>30</v>
      </c>
      <c r="M439" s="4">
        <v>335.27</v>
      </c>
      <c r="N439" t="s">
        <v>24</v>
      </c>
      <c r="O439">
        <f>Patient_data[[#This Row],[Appointment_Date]]-Patient_data[[#This Row],[Booking_Date]]</f>
        <v>371</v>
      </c>
    </row>
    <row r="440" spans="1:15" x14ac:dyDescent="0.25">
      <c r="A440">
        <v>1026</v>
      </c>
      <c r="B440">
        <v>56</v>
      </c>
      <c r="C440" t="s">
        <v>756</v>
      </c>
      <c r="D440" t="s">
        <v>897</v>
      </c>
      <c r="E440" t="s">
        <v>28</v>
      </c>
      <c r="F440" s="3">
        <v>46011</v>
      </c>
      <c r="G440" s="1">
        <f>YEAR(Patient_data[[#This Row],[Appointment_Date]])</f>
        <v>2025</v>
      </c>
      <c r="H440" s="2" t="str">
        <f>TEXT(Patient_data[[#This Row],[Appointment_Date]],"mmmm")</f>
        <v>December</v>
      </c>
      <c r="I440" s="3" t="str">
        <f>TEXT(Patient_data[[#This Row],[Appointment_Date]],"mmm-yyyy")</f>
        <v>Dec-2025</v>
      </c>
      <c r="J440" s="3">
        <v>45832</v>
      </c>
      <c r="K440" t="s">
        <v>898</v>
      </c>
      <c r="L440" t="s">
        <v>23</v>
      </c>
      <c r="M440" s="4">
        <v>97.66</v>
      </c>
      <c r="N440" t="s">
        <v>20</v>
      </c>
      <c r="O440">
        <f>Patient_data[[#This Row],[Appointment_Date]]-Patient_data[[#This Row],[Booking_Date]]</f>
        <v>179</v>
      </c>
    </row>
    <row r="441" spans="1:15" x14ac:dyDescent="0.25">
      <c r="A441">
        <v>1020</v>
      </c>
      <c r="B441">
        <v>56</v>
      </c>
      <c r="C441" t="s">
        <v>756</v>
      </c>
      <c r="D441" t="s">
        <v>899</v>
      </c>
      <c r="E441" t="s">
        <v>17</v>
      </c>
      <c r="F441" s="3">
        <v>45767</v>
      </c>
      <c r="G441" s="1">
        <f>YEAR(Patient_data[[#This Row],[Appointment_Date]])</f>
        <v>2025</v>
      </c>
      <c r="H441" s="2" t="str">
        <f>TEXT(Patient_data[[#This Row],[Appointment_Date]],"mmmm")</f>
        <v>April</v>
      </c>
      <c r="I441" s="3" t="str">
        <f>TEXT(Patient_data[[#This Row],[Appointment_Date]],"mmm-yyyy")</f>
        <v>Apr-2025</v>
      </c>
      <c r="J441" s="3">
        <v>45633</v>
      </c>
      <c r="K441" t="s">
        <v>900</v>
      </c>
      <c r="L441" t="s">
        <v>19</v>
      </c>
      <c r="M441" s="4">
        <v>1.05</v>
      </c>
      <c r="N441" t="s">
        <v>24</v>
      </c>
      <c r="O441">
        <f>Patient_data[[#This Row],[Appointment_Date]]-Patient_data[[#This Row],[Booking_Date]]</f>
        <v>134</v>
      </c>
    </row>
    <row r="442" spans="1:15" x14ac:dyDescent="0.25">
      <c r="A442">
        <v>1018</v>
      </c>
      <c r="B442">
        <v>55</v>
      </c>
      <c r="C442" t="s">
        <v>756</v>
      </c>
      <c r="D442" t="s">
        <v>901</v>
      </c>
      <c r="E442" t="s">
        <v>28</v>
      </c>
      <c r="F442" s="3">
        <v>46082</v>
      </c>
      <c r="G442" s="1">
        <f>YEAR(Patient_data[[#This Row],[Appointment_Date]])</f>
        <v>2026</v>
      </c>
      <c r="H442" s="2" t="str">
        <f>TEXT(Patient_data[[#This Row],[Appointment_Date]],"mmmm")</f>
        <v>March</v>
      </c>
      <c r="I442" s="3" t="str">
        <f>TEXT(Patient_data[[#This Row],[Appointment_Date]],"mmm-yyyy")</f>
        <v>Mar-2026</v>
      </c>
      <c r="J442" s="3">
        <v>45446</v>
      </c>
      <c r="K442" t="s">
        <v>902</v>
      </c>
      <c r="L442" t="s">
        <v>19</v>
      </c>
      <c r="M442" s="4">
        <v>20.66</v>
      </c>
      <c r="N442" t="s">
        <v>20</v>
      </c>
      <c r="O442">
        <f>Patient_data[[#This Row],[Appointment_Date]]-Patient_data[[#This Row],[Booking_Date]]</f>
        <v>636</v>
      </c>
    </row>
    <row r="443" spans="1:15" x14ac:dyDescent="0.25">
      <c r="A443">
        <v>1045</v>
      </c>
      <c r="B443">
        <v>55</v>
      </c>
      <c r="C443" t="s">
        <v>756</v>
      </c>
      <c r="D443" t="s">
        <v>903</v>
      </c>
      <c r="E443" t="s">
        <v>28</v>
      </c>
      <c r="F443" s="3">
        <v>46024</v>
      </c>
      <c r="G443" s="1">
        <f>YEAR(Patient_data[[#This Row],[Appointment_Date]])</f>
        <v>2026</v>
      </c>
      <c r="H443" s="2" t="str">
        <f>TEXT(Patient_data[[#This Row],[Appointment_Date]],"mmmm")</f>
        <v>January</v>
      </c>
      <c r="I443" s="3" t="str">
        <f>TEXT(Patient_data[[#This Row],[Appointment_Date]],"mmm-yyyy")</f>
        <v>Jan-2026</v>
      </c>
      <c r="J443" s="3">
        <v>45393</v>
      </c>
      <c r="K443" t="s">
        <v>904</v>
      </c>
      <c r="L443" t="s">
        <v>23</v>
      </c>
      <c r="M443" s="4">
        <v>77.14</v>
      </c>
      <c r="N443" t="s">
        <v>24</v>
      </c>
      <c r="O443">
        <f>Patient_data[[#This Row],[Appointment_Date]]-Patient_data[[#This Row],[Booking_Date]]</f>
        <v>631</v>
      </c>
    </row>
    <row r="444" spans="1:15" x14ac:dyDescent="0.25">
      <c r="A444">
        <v>1090</v>
      </c>
      <c r="B444">
        <v>55</v>
      </c>
      <c r="C444" t="s">
        <v>756</v>
      </c>
      <c r="D444" t="s">
        <v>905</v>
      </c>
      <c r="E444" t="s">
        <v>17</v>
      </c>
      <c r="F444" s="3">
        <v>45921</v>
      </c>
      <c r="G444" s="1">
        <f>YEAR(Patient_data[[#This Row],[Appointment_Date]])</f>
        <v>2025</v>
      </c>
      <c r="H444" s="2" t="str">
        <f>TEXT(Patient_data[[#This Row],[Appointment_Date]],"mmmm")</f>
        <v>September</v>
      </c>
      <c r="I444" s="3" t="str">
        <f>TEXT(Patient_data[[#This Row],[Appointment_Date]],"mmm-yyyy")</f>
        <v>Sep-2025</v>
      </c>
      <c r="J444" s="3">
        <v>45461</v>
      </c>
      <c r="K444" t="s">
        <v>906</v>
      </c>
      <c r="L444" t="s">
        <v>43</v>
      </c>
      <c r="M444" s="4">
        <v>2.41</v>
      </c>
      <c r="N444" t="s">
        <v>20</v>
      </c>
      <c r="O444">
        <f>Patient_data[[#This Row],[Appointment_Date]]-Patient_data[[#This Row],[Booking_Date]]</f>
        <v>460</v>
      </c>
    </row>
    <row r="445" spans="1:15" x14ac:dyDescent="0.25">
      <c r="A445">
        <v>1025</v>
      </c>
      <c r="B445">
        <v>55</v>
      </c>
      <c r="C445" t="s">
        <v>756</v>
      </c>
      <c r="D445" t="s">
        <v>907</v>
      </c>
      <c r="E445" t="s">
        <v>28</v>
      </c>
      <c r="F445" s="3">
        <v>45976</v>
      </c>
      <c r="G445" s="1">
        <f>YEAR(Patient_data[[#This Row],[Appointment_Date]])</f>
        <v>2025</v>
      </c>
      <c r="H445" s="2" t="str">
        <f>TEXT(Patient_data[[#This Row],[Appointment_Date]],"mmmm")</f>
        <v>November</v>
      </c>
      <c r="I445" s="3" t="str">
        <f>TEXT(Patient_data[[#This Row],[Appointment_Date]],"mmm-yyyy")</f>
        <v>Nov-2025</v>
      </c>
      <c r="J445" s="3">
        <v>45479</v>
      </c>
      <c r="K445" t="s">
        <v>908</v>
      </c>
      <c r="L445" t="s">
        <v>23</v>
      </c>
      <c r="M445" s="4">
        <v>316.26</v>
      </c>
      <c r="N445" t="s">
        <v>20</v>
      </c>
      <c r="O445">
        <f>Patient_data[[#This Row],[Appointment_Date]]-Patient_data[[#This Row],[Booking_Date]]</f>
        <v>497</v>
      </c>
    </row>
    <row r="446" spans="1:15" x14ac:dyDescent="0.25">
      <c r="A446">
        <v>1024</v>
      </c>
      <c r="B446">
        <v>55</v>
      </c>
      <c r="C446" t="s">
        <v>756</v>
      </c>
      <c r="D446" t="s">
        <v>909</v>
      </c>
      <c r="E446" t="s">
        <v>28</v>
      </c>
      <c r="F446" s="3">
        <v>45942</v>
      </c>
      <c r="G446" s="1">
        <f>YEAR(Patient_data[[#This Row],[Appointment_Date]])</f>
        <v>2025</v>
      </c>
      <c r="H446" s="2" t="str">
        <f>TEXT(Patient_data[[#This Row],[Appointment_Date]],"mmmm")</f>
        <v>October</v>
      </c>
      <c r="I446" s="3" t="str">
        <f>TEXT(Patient_data[[#This Row],[Appointment_Date]],"mmm-yyyy")</f>
        <v>Oct-2025</v>
      </c>
      <c r="J446" s="3">
        <v>45593</v>
      </c>
      <c r="K446" t="s">
        <v>910</v>
      </c>
      <c r="L446" t="s">
        <v>23</v>
      </c>
      <c r="M446" s="4">
        <v>6.37</v>
      </c>
      <c r="N446" t="s">
        <v>24</v>
      </c>
      <c r="O446">
        <f>Patient_data[[#This Row],[Appointment_Date]]-Patient_data[[#This Row],[Booking_Date]]</f>
        <v>349</v>
      </c>
    </row>
    <row r="447" spans="1:15" x14ac:dyDescent="0.25">
      <c r="A447">
        <v>1039</v>
      </c>
      <c r="B447">
        <v>55</v>
      </c>
      <c r="C447" t="s">
        <v>756</v>
      </c>
      <c r="D447" t="s">
        <v>911</v>
      </c>
      <c r="E447" t="s">
        <v>17</v>
      </c>
      <c r="F447" s="3">
        <v>45748</v>
      </c>
      <c r="G447" s="1">
        <f>YEAR(Patient_data[[#This Row],[Appointment_Date]])</f>
        <v>2025</v>
      </c>
      <c r="H447" s="2" t="str">
        <f>TEXT(Patient_data[[#This Row],[Appointment_Date]],"mmmm")</f>
        <v>April</v>
      </c>
      <c r="I447" s="3" t="str">
        <f>TEXT(Patient_data[[#This Row],[Appointment_Date]],"mmm-yyyy")</f>
        <v>Apr-2025</v>
      </c>
      <c r="J447" s="3">
        <v>45548</v>
      </c>
      <c r="K447" t="s">
        <v>912</v>
      </c>
      <c r="L447" t="s">
        <v>43</v>
      </c>
      <c r="M447" s="4">
        <v>32.840000000000003</v>
      </c>
      <c r="N447" t="s">
        <v>20</v>
      </c>
      <c r="O447">
        <f>Patient_data[[#This Row],[Appointment_Date]]-Patient_data[[#This Row],[Booking_Date]]</f>
        <v>200</v>
      </c>
    </row>
    <row r="448" spans="1:15" x14ac:dyDescent="0.25">
      <c r="A448">
        <v>1084</v>
      </c>
      <c r="B448">
        <v>55</v>
      </c>
      <c r="C448" t="s">
        <v>756</v>
      </c>
      <c r="D448" t="s">
        <v>913</v>
      </c>
      <c r="E448" t="s">
        <v>28</v>
      </c>
      <c r="F448" s="3">
        <v>45776</v>
      </c>
      <c r="G448" s="1">
        <f>YEAR(Patient_data[[#This Row],[Appointment_Date]])</f>
        <v>2025</v>
      </c>
      <c r="H448" s="2" t="str">
        <f>TEXT(Patient_data[[#This Row],[Appointment_Date]],"mmmm")</f>
        <v>April</v>
      </c>
      <c r="I448" s="3" t="str">
        <f>TEXT(Patient_data[[#This Row],[Appointment_Date]],"mmm-yyyy")</f>
        <v>Apr-2025</v>
      </c>
      <c r="J448" s="3">
        <v>45632</v>
      </c>
      <c r="K448" t="s">
        <v>914</v>
      </c>
      <c r="L448" t="s">
        <v>19</v>
      </c>
      <c r="M448" s="4">
        <v>60.39</v>
      </c>
      <c r="N448" t="s">
        <v>20</v>
      </c>
      <c r="O448">
        <f>Patient_data[[#This Row],[Appointment_Date]]-Patient_data[[#This Row],[Booking_Date]]</f>
        <v>144</v>
      </c>
    </row>
    <row r="449" spans="1:15" x14ac:dyDescent="0.25">
      <c r="A449">
        <v>1017</v>
      </c>
      <c r="B449">
        <v>55</v>
      </c>
      <c r="C449" t="s">
        <v>756</v>
      </c>
      <c r="D449" t="s">
        <v>915</v>
      </c>
      <c r="E449" t="s">
        <v>17</v>
      </c>
      <c r="F449" s="3">
        <v>45856</v>
      </c>
      <c r="G449" s="1">
        <f>YEAR(Patient_data[[#This Row],[Appointment_Date]])</f>
        <v>2025</v>
      </c>
      <c r="H449" s="2" t="str">
        <f>TEXT(Patient_data[[#This Row],[Appointment_Date]],"mmmm")</f>
        <v>July</v>
      </c>
      <c r="I449" s="3" t="str">
        <f>TEXT(Patient_data[[#This Row],[Appointment_Date]],"mmm-yyyy")</f>
        <v>Jul-2025</v>
      </c>
      <c r="J449" s="3">
        <v>45479</v>
      </c>
      <c r="K449" t="s">
        <v>916</v>
      </c>
      <c r="L449" t="s">
        <v>23</v>
      </c>
      <c r="M449" s="4">
        <v>365.21</v>
      </c>
      <c r="N449" t="s">
        <v>20</v>
      </c>
      <c r="O449">
        <f>Patient_data[[#This Row],[Appointment_Date]]-Patient_data[[#This Row],[Booking_Date]]</f>
        <v>377</v>
      </c>
    </row>
    <row r="450" spans="1:15" x14ac:dyDescent="0.25">
      <c r="A450">
        <v>1029</v>
      </c>
      <c r="B450">
        <v>55</v>
      </c>
      <c r="C450" t="s">
        <v>756</v>
      </c>
      <c r="D450" t="s">
        <v>917</v>
      </c>
      <c r="E450" t="s">
        <v>17</v>
      </c>
      <c r="F450" s="3">
        <v>45945</v>
      </c>
      <c r="G450" s="1">
        <f>YEAR(Patient_data[[#This Row],[Appointment_Date]])</f>
        <v>2025</v>
      </c>
      <c r="H450" s="2" t="str">
        <f>TEXT(Patient_data[[#This Row],[Appointment_Date]],"mmmm")</f>
        <v>October</v>
      </c>
      <c r="I450" s="3" t="str">
        <f>TEXT(Patient_data[[#This Row],[Appointment_Date]],"mmm-yyyy")</f>
        <v>Oct-2025</v>
      </c>
      <c r="J450" s="3">
        <v>45805</v>
      </c>
      <c r="K450" t="s">
        <v>918</v>
      </c>
      <c r="L450" t="s">
        <v>43</v>
      </c>
      <c r="M450" s="4">
        <v>75.09</v>
      </c>
      <c r="N450" t="s">
        <v>20</v>
      </c>
      <c r="O450">
        <f>Patient_data[[#This Row],[Appointment_Date]]-Patient_data[[#This Row],[Booking_Date]]</f>
        <v>140</v>
      </c>
    </row>
    <row r="451" spans="1:15" x14ac:dyDescent="0.25">
      <c r="A451">
        <v>1005</v>
      </c>
      <c r="B451">
        <v>55</v>
      </c>
      <c r="C451" t="s">
        <v>756</v>
      </c>
      <c r="D451" t="s">
        <v>919</v>
      </c>
      <c r="E451" t="s">
        <v>28</v>
      </c>
      <c r="F451" s="3">
        <v>45876</v>
      </c>
      <c r="G451" s="1">
        <f>YEAR(Patient_data[[#This Row],[Appointment_Date]])</f>
        <v>2025</v>
      </c>
      <c r="H451" s="2" t="str">
        <f>TEXT(Patient_data[[#This Row],[Appointment_Date]],"mmmm")</f>
        <v>August</v>
      </c>
      <c r="I451" s="3" t="str">
        <f>TEXT(Patient_data[[#This Row],[Appointment_Date]],"mmm-yyyy")</f>
        <v>Aug-2025</v>
      </c>
      <c r="J451" s="3">
        <v>45388</v>
      </c>
      <c r="K451" t="s">
        <v>920</v>
      </c>
      <c r="L451" t="s">
        <v>30</v>
      </c>
      <c r="M451" s="4">
        <v>25.33</v>
      </c>
      <c r="N451" t="s">
        <v>20</v>
      </c>
      <c r="O451">
        <f>Patient_data[[#This Row],[Appointment_Date]]-Patient_data[[#This Row],[Booking_Date]]</f>
        <v>488</v>
      </c>
    </row>
    <row r="452" spans="1:15" x14ac:dyDescent="0.25">
      <c r="A452">
        <v>1088</v>
      </c>
      <c r="B452">
        <v>55</v>
      </c>
      <c r="C452" t="s">
        <v>756</v>
      </c>
      <c r="D452" t="s">
        <v>921</v>
      </c>
      <c r="E452" t="s">
        <v>28</v>
      </c>
      <c r="F452" s="3">
        <v>45983</v>
      </c>
      <c r="G452" s="1">
        <f>YEAR(Patient_data[[#This Row],[Appointment_Date]])</f>
        <v>2025</v>
      </c>
      <c r="H452" s="2" t="str">
        <f>TEXT(Patient_data[[#This Row],[Appointment_Date]],"mmmm")</f>
        <v>November</v>
      </c>
      <c r="I452" s="3" t="str">
        <f>TEXT(Patient_data[[#This Row],[Appointment_Date]],"mmm-yyyy")</f>
        <v>Nov-2025</v>
      </c>
      <c r="J452" s="3">
        <v>45544</v>
      </c>
      <c r="K452" t="s">
        <v>922</v>
      </c>
      <c r="L452" t="s">
        <v>43</v>
      </c>
      <c r="M452" s="4">
        <v>6.12</v>
      </c>
      <c r="N452" t="s">
        <v>20</v>
      </c>
      <c r="O452">
        <f>Patient_data[[#This Row],[Appointment_Date]]-Patient_data[[#This Row],[Booking_Date]]</f>
        <v>439</v>
      </c>
    </row>
    <row r="453" spans="1:15" x14ac:dyDescent="0.25">
      <c r="A453">
        <v>1018</v>
      </c>
      <c r="B453">
        <v>55</v>
      </c>
      <c r="C453" t="s">
        <v>756</v>
      </c>
      <c r="D453" t="s">
        <v>923</v>
      </c>
      <c r="E453" t="s">
        <v>28</v>
      </c>
      <c r="F453" s="3">
        <v>46014</v>
      </c>
      <c r="G453" s="1">
        <f>YEAR(Patient_data[[#This Row],[Appointment_Date]])</f>
        <v>2025</v>
      </c>
      <c r="H453" s="2" t="str">
        <f>TEXT(Patient_data[[#This Row],[Appointment_Date]],"mmmm")</f>
        <v>December</v>
      </c>
      <c r="I453" s="3" t="str">
        <f>TEXT(Patient_data[[#This Row],[Appointment_Date]],"mmm-yyyy")</f>
        <v>Dec-2025</v>
      </c>
      <c r="J453" s="3">
        <v>45711</v>
      </c>
      <c r="K453" t="s">
        <v>924</v>
      </c>
      <c r="L453" t="s">
        <v>19</v>
      </c>
      <c r="M453" s="4">
        <v>6.8</v>
      </c>
      <c r="N453" t="s">
        <v>20</v>
      </c>
      <c r="O453">
        <f>Patient_data[[#This Row],[Appointment_Date]]-Patient_data[[#This Row],[Booking_Date]]</f>
        <v>303</v>
      </c>
    </row>
    <row r="454" spans="1:15" x14ac:dyDescent="0.25">
      <c r="A454">
        <v>1041</v>
      </c>
      <c r="B454">
        <v>54</v>
      </c>
      <c r="C454" t="s">
        <v>756</v>
      </c>
      <c r="D454" t="s">
        <v>925</v>
      </c>
      <c r="E454" t="s">
        <v>28</v>
      </c>
      <c r="F454" s="3">
        <v>45891</v>
      </c>
      <c r="G454" s="1">
        <f>YEAR(Patient_data[[#This Row],[Appointment_Date]])</f>
        <v>2025</v>
      </c>
      <c r="H454" s="2" t="str">
        <f>TEXT(Patient_data[[#This Row],[Appointment_Date]],"mmmm")</f>
        <v>August</v>
      </c>
      <c r="I454" s="3" t="str">
        <f>TEXT(Patient_data[[#This Row],[Appointment_Date]],"mmm-yyyy")</f>
        <v>Aug-2025</v>
      </c>
      <c r="J454" s="3">
        <v>45603</v>
      </c>
      <c r="K454" t="s">
        <v>926</v>
      </c>
      <c r="L454" t="s">
        <v>23</v>
      </c>
      <c r="M454" s="4">
        <v>52.37</v>
      </c>
      <c r="N454" t="s">
        <v>24</v>
      </c>
      <c r="O454">
        <f>Patient_data[[#This Row],[Appointment_Date]]-Patient_data[[#This Row],[Booking_Date]]</f>
        <v>288</v>
      </c>
    </row>
    <row r="455" spans="1:15" x14ac:dyDescent="0.25">
      <c r="A455">
        <v>1086</v>
      </c>
      <c r="B455">
        <v>54</v>
      </c>
      <c r="C455" t="s">
        <v>756</v>
      </c>
      <c r="D455" t="s">
        <v>927</v>
      </c>
      <c r="E455" t="s">
        <v>17</v>
      </c>
      <c r="F455" s="3">
        <v>45771</v>
      </c>
      <c r="G455" s="1">
        <f>YEAR(Patient_data[[#This Row],[Appointment_Date]])</f>
        <v>2025</v>
      </c>
      <c r="H455" s="2" t="str">
        <f>TEXT(Patient_data[[#This Row],[Appointment_Date]],"mmmm")</f>
        <v>April</v>
      </c>
      <c r="I455" s="3" t="str">
        <f>TEXT(Patient_data[[#This Row],[Appointment_Date]],"mmm-yyyy")</f>
        <v>Apr-2025</v>
      </c>
      <c r="J455" s="3">
        <v>45572</v>
      </c>
      <c r="K455" t="s">
        <v>928</v>
      </c>
      <c r="L455" t="s">
        <v>30</v>
      </c>
      <c r="M455" s="4">
        <v>1.91</v>
      </c>
      <c r="N455" t="s">
        <v>24</v>
      </c>
      <c r="O455">
        <f>Patient_data[[#This Row],[Appointment_Date]]-Patient_data[[#This Row],[Booking_Date]]</f>
        <v>199</v>
      </c>
    </row>
    <row r="456" spans="1:15" x14ac:dyDescent="0.25">
      <c r="A456">
        <v>1078</v>
      </c>
      <c r="B456">
        <v>54</v>
      </c>
      <c r="C456" t="s">
        <v>756</v>
      </c>
      <c r="D456" t="s">
        <v>929</v>
      </c>
      <c r="E456" t="s">
        <v>17</v>
      </c>
      <c r="F456" s="3">
        <v>46000</v>
      </c>
      <c r="G456" s="1">
        <f>YEAR(Patient_data[[#This Row],[Appointment_Date]])</f>
        <v>2025</v>
      </c>
      <c r="H456" s="2" t="str">
        <f>TEXT(Patient_data[[#This Row],[Appointment_Date]],"mmmm")</f>
        <v>December</v>
      </c>
      <c r="I456" s="3" t="str">
        <f>TEXT(Patient_data[[#This Row],[Appointment_Date]],"mmm-yyyy")</f>
        <v>Dec-2025</v>
      </c>
      <c r="J456" s="3">
        <v>45850</v>
      </c>
      <c r="K456" t="s">
        <v>930</v>
      </c>
      <c r="L456" t="s">
        <v>23</v>
      </c>
      <c r="M456" s="4">
        <v>484.52</v>
      </c>
      <c r="N456" t="s">
        <v>20</v>
      </c>
      <c r="O456">
        <f>Patient_data[[#This Row],[Appointment_Date]]-Patient_data[[#This Row],[Booking_Date]]</f>
        <v>150</v>
      </c>
    </row>
    <row r="457" spans="1:15" x14ac:dyDescent="0.25">
      <c r="A457">
        <v>1027</v>
      </c>
      <c r="B457">
        <v>54</v>
      </c>
      <c r="C457" t="s">
        <v>756</v>
      </c>
      <c r="D457" t="s">
        <v>931</v>
      </c>
      <c r="E457" t="s">
        <v>28</v>
      </c>
      <c r="F457" s="3">
        <v>46018</v>
      </c>
      <c r="G457" s="1">
        <f>YEAR(Patient_data[[#This Row],[Appointment_Date]])</f>
        <v>2025</v>
      </c>
      <c r="H457" s="2" t="str">
        <f>TEXT(Patient_data[[#This Row],[Appointment_Date]],"mmmm")</f>
        <v>December</v>
      </c>
      <c r="I457" s="3" t="str">
        <f>TEXT(Patient_data[[#This Row],[Appointment_Date]],"mmm-yyyy")</f>
        <v>Dec-2025</v>
      </c>
      <c r="J457" s="3">
        <v>45804</v>
      </c>
      <c r="K457" t="s">
        <v>932</v>
      </c>
      <c r="L457" t="s">
        <v>43</v>
      </c>
      <c r="M457" s="4">
        <v>12.07</v>
      </c>
      <c r="N457" t="s">
        <v>20</v>
      </c>
      <c r="O457">
        <f>Patient_data[[#This Row],[Appointment_Date]]-Patient_data[[#This Row],[Booking_Date]]</f>
        <v>214</v>
      </c>
    </row>
    <row r="458" spans="1:15" x14ac:dyDescent="0.25">
      <c r="A458">
        <v>1018</v>
      </c>
      <c r="B458">
        <v>54</v>
      </c>
      <c r="C458" t="s">
        <v>756</v>
      </c>
      <c r="D458" t="s">
        <v>933</v>
      </c>
      <c r="E458" t="s">
        <v>28</v>
      </c>
      <c r="F458" s="3">
        <v>46106</v>
      </c>
      <c r="G458" s="1">
        <f>YEAR(Patient_data[[#This Row],[Appointment_Date]])</f>
        <v>2026</v>
      </c>
      <c r="H458" s="2" t="str">
        <f>TEXT(Patient_data[[#This Row],[Appointment_Date]],"mmmm")</f>
        <v>March</v>
      </c>
      <c r="I458" s="3" t="str">
        <f>TEXT(Patient_data[[#This Row],[Appointment_Date]],"mmm-yyyy")</f>
        <v>Mar-2026</v>
      </c>
      <c r="J458" s="3">
        <v>45540</v>
      </c>
      <c r="K458" t="s">
        <v>934</v>
      </c>
      <c r="L458" t="s">
        <v>23</v>
      </c>
      <c r="M458" s="4">
        <v>25.97</v>
      </c>
      <c r="N458" t="s">
        <v>24</v>
      </c>
      <c r="O458">
        <f>Patient_data[[#This Row],[Appointment_Date]]-Patient_data[[#This Row],[Booking_Date]]</f>
        <v>566</v>
      </c>
    </row>
    <row r="459" spans="1:15" x14ac:dyDescent="0.25">
      <c r="A459">
        <v>1066</v>
      </c>
      <c r="B459">
        <v>54</v>
      </c>
      <c r="C459" t="s">
        <v>756</v>
      </c>
      <c r="D459" t="s">
        <v>935</v>
      </c>
      <c r="E459" t="s">
        <v>17</v>
      </c>
      <c r="F459" s="3">
        <v>45881</v>
      </c>
      <c r="G459" s="1">
        <f>YEAR(Patient_data[[#This Row],[Appointment_Date]])</f>
        <v>2025</v>
      </c>
      <c r="H459" s="2" t="str">
        <f>TEXT(Patient_data[[#This Row],[Appointment_Date]],"mmmm")</f>
        <v>August</v>
      </c>
      <c r="I459" s="3" t="str">
        <f>TEXT(Patient_data[[#This Row],[Appointment_Date]],"mmm-yyyy")</f>
        <v>Aug-2025</v>
      </c>
      <c r="J459" s="3">
        <v>45863</v>
      </c>
      <c r="K459" t="s">
        <v>936</v>
      </c>
      <c r="L459" t="s">
        <v>23</v>
      </c>
      <c r="M459" s="4">
        <v>6.33</v>
      </c>
      <c r="N459" t="s">
        <v>24</v>
      </c>
      <c r="O459">
        <f>Patient_data[[#This Row],[Appointment_Date]]-Patient_data[[#This Row],[Booking_Date]]</f>
        <v>18</v>
      </c>
    </row>
    <row r="460" spans="1:15" x14ac:dyDescent="0.25">
      <c r="A460">
        <v>1078</v>
      </c>
      <c r="B460">
        <v>54</v>
      </c>
      <c r="C460" t="s">
        <v>756</v>
      </c>
      <c r="D460" t="s">
        <v>937</v>
      </c>
      <c r="E460" t="s">
        <v>17</v>
      </c>
      <c r="F460" s="3">
        <v>45867</v>
      </c>
      <c r="G460" s="1">
        <f>YEAR(Patient_data[[#This Row],[Appointment_Date]])</f>
        <v>2025</v>
      </c>
      <c r="H460" s="2" t="str">
        <f>TEXT(Patient_data[[#This Row],[Appointment_Date]],"mmmm")</f>
        <v>July</v>
      </c>
      <c r="I460" s="3" t="str">
        <f>TEXT(Patient_data[[#This Row],[Appointment_Date]],"mmm-yyyy")</f>
        <v>Jul-2025</v>
      </c>
      <c r="J460" s="3">
        <v>45449</v>
      </c>
      <c r="K460" t="s">
        <v>938</v>
      </c>
      <c r="L460" t="s">
        <v>19</v>
      </c>
      <c r="M460" s="4">
        <v>433.77</v>
      </c>
      <c r="N460" t="s">
        <v>20</v>
      </c>
      <c r="O460">
        <f>Patient_data[[#This Row],[Appointment_Date]]-Patient_data[[#This Row],[Booking_Date]]</f>
        <v>418</v>
      </c>
    </row>
    <row r="461" spans="1:15" x14ac:dyDescent="0.25">
      <c r="A461">
        <v>1006</v>
      </c>
      <c r="B461">
        <v>54</v>
      </c>
      <c r="C461" t="s">
        <v>756</v>
      </c>
      <c r="D461" t="s">
        <v>939</v>
      </c>
      <c r="E461" t="s">
        <v>28</v>
      </c>
      <c r="F461" s="3">
        <v>46049</v>
      </c>
      <c r="G461" s="1">
        <f>YEAR(Patient_data[[#This Row],[Appointment_Date]])</f>
        <v>2026</v>
      </c>
      <c r="H461" s="2" t="str">
        <f>TEXT(Patient_data[[#This Row],[Appointment_Date]],"mmmm")</f>
        <v>January</v>
      </c>
      <c r="I461" s="3" t="str">
        <f>TEXT(Patient_data[[#This Row],[Appointment_Date]],"mmm-yyyy")</f>
        <v>Jan-2026</v>
      </c>
      <c r="J461" s="3">
        <v>45536</v>
      </c>
      <c r="K461" t="s">
        <v>940</v>
      </c>
      <c r="L461" t="s">
        <v>43</v>
      </c>
      <c r="M461" s="4">
        <v>1.65</v>
      </c>
      <c r="N461" t="s">
        <v>20</v>
      </c>
      <c r="O461">
        <f>Patient_data[[#This Row],[Appointment_Date]]-Patient_data[[#This Row],[Booking_Date]]</f>
        <v>513</v>
      </c>
    </row>
    <row r="462" spans="1:15" x14ac:dyDescent="0.25">
      <c r="A462">
        <v>1070</v>
      </c>
      <c r="B462">
        <v>54</v>
      </c>
      <c r="C462" t="s">
        <v>756</v>
      </c>
      <c r="D462" t="s">
        <v>941</v>
      </c>
      <c r="E462" t="s">
        <v>17</v>
      </c>
      <c r="F462" s="3">
        <v>45831</v>
      </c>
      <c r="G462" s="1">
        <f>YEAR(Patient_data[[#This Row],[Appointment_Date]])</f>
        <v>2025</v>
      </c>
      <c r="H462" s="2" t="str">
        <f>TEXT(Patient_data[[#This Row],[Appointment_Date]],"mmmm")</f>
        <v>June</v>
      </c>
      <c r="I462" s="3" t="str">
        <f>TEXT(Patient_data[[#This Row],[Appointment_Date]],"mmm-yyyy")</f>
        <v>Jun-2025</v>
      </c>
      <c r="J462" s="3">
        <v>45528</v>
      </c>
      <c r="K462" t="s">
        <v>942</v>
      </c>
      <c r="L462" t="s">
        <v>19</v>
      </c>
      <c r="M462" s="4">
        <v>86.53</v>
      </c>
      <c r="N462" t="s">
        <v>20</v>
      </c>
      <c r="O462">
        <f>Patient_data[[#This Row],[Appointment_Date]]-Patient_data[[#This Row],[Booking_Date]]</f>
        <v>303</v>
      </c>
    </row>
    <row r="463" spans="1:15" x14ac:dyDescent="0.25">
      <c r="A463">
        <v>1011</v>
      </c>
      <c r="B463">
        <v>54</v>
      </c>
      <c r="C463" t="s">
        <v>756</v>
      </c>
      <c r="D463" t="s">
        <v>943</v>
      </c>
      <c r="E463" t="s">
        <v>17</v>
      </c>
      <c r="F463" s="3">
        <v>46066</v>
      </c>
      <c r="G463" s="1">
        <f>YEAR(Patient_data[[#This Row],[Appointment_Date]])</f>
        <v>2026</v>
      </c>
      <c r="H463" s="2" t="str">
        <f>TEXT(Patient_data[[#This Row],[Appointment_Date]],"mmmm")</f>
        <v>February</v>
      </c>
      <c r="I463" s="3" t="str">
        <f>TEXT(Patient_data[[#This Row],[Appointment_Date]],"mmm-yyyy")</f>
        <v>Feb-2026</v>
      </c>
      <c r="J463" s="3">
        <v>45602</v>
      </c>
      <c r="K463" t="s">
        <v>944</v>
      </c>
      <c r="L463" t="s">
        <v>43</v>
      </c>
      <c r="M463" s="4">
        <v>25.86</v>
      </c>
      <c r="N463" t="s">
        <v>20</v>
      </c>
      <c r="O463">
        <f>Patient_data[[#This Row],[Appointment_Date]]-Patient_data[[#This Row],[Booking_Date]]</f>
        <v>464</v>
      </c>
    </row>
    <row r="464" spans="1:15" x14ac:dyDescent="0.25">
      <c r="A464">
        <v>1021</v>
      </c>
      <c r="B464">
        <v>54</v>
      </c>
      <c r="C464" t="s">
        <v>756</v>
      </c>
      <c r="D464" t="s">
        <v>945</v>
      </c>
      <c r="E464" t="s">
        <v>17</v>
      </c>
      <c r="F464" s="3">
        <v>45920</v>
      </c>
      <c r="G464" s="1">
        <f>YEAR(Patient_data[[#This Row],[Appointment_Date]])</f>
        <v>2025</v>
      </c>
      <c r="H464" s="2" t="str">
        <f>TEXT(Patient_data[[#This Row],[Appointment_Date]],"mmmm")</f>
        <v>September</v>
      </c>
      <c r="I464" s="3" t="str">
        <f>TEXT(Patient_data[[#This Row],[Appointment_Date]],"mmm-yyyy")</f>
        <v>Sep-2025</v>
      </c>
      <c r="J464" s="3">
        <v>45467</v>
      </c>
      <c r="K464" t="s">
        <v>946</v>
      </c>
      <c r="L464" t="s">
        <v>30</v>
      </c>
      <c r="M464" s="4">
        <v>119.4</v>
      </c>
      <c r="N464" t="s">
        <v>20</v>
      </c>
      <c r="O464">
        <f>Patient_data[[#This Row],[Appointment_Date]]-Patient_data[[#This Row],[Booking_Date]]</f>
        <v>453</v>
      </c>
    </row>
    <row r="465" spans="1:15" x14ac:dyDescent="0.25">
      <c r="A465">
        <v>1006</v>
      </c>
      <c r="B465">
        <v>54</v>
      </c>
      <c r="C465" t="s">
        <v>756</v>
      </c>
      <c r="D465" t="s">
        <v>947</v>
      </c>
      <c r="E465" t="s">
        <v>28</v>
      </c>
      <c r="F465" s="3">
        <v>45826</v>
      </c>
      <c r="G465" s="1">
        <f>YEAR(Patient_data[[#This Row],[Appointment_Date]])</f>
        <v>2025</v>
      </c>
      <c r="H465" s="2" t="str">
        <f>TEXT(Patient_data[[#This Row],[Appointment_Date]],"mmmm")</f>
        <v>June</v>
      </c>
      <c r="I465" s="3" t="str">
        <f>TEXT(Patient_data[[#This Row],[Appointment_Date]],"mmm-yyyy")</f>
        <v>Jun-2025</v>
      </c>
      <c r="J465" s="3">
        <v>45602</v>
      </c>
      <c r="K465" t="s">
        <v>948</v>
      </c>
      <c r="L465" t="s">
        <v>19</v>
      </c>
      <c r="M465" s="4">
        <v>119.63</v>
      </c>
      <c r="N465" t="s">
        <v>20</v>
      </c>
      <c r="O465">
        <f>Patient_data[[#This Row],[Appointment_Date]]-Patient_data[[#This Row],[Booking_Date]]</f>
        <v>224</v>
      </c>
    </row>
    <row r="466" spans="1:15" x14ac:dyDescent="0.25">
      <c r="A466">
        <v>1038</v>
      </c>
      <c r="B466">
        <v>54</v>
      </c>
      <c r="C466" t="s">
        <v>756</v>
      </c>
      <c r="D466" t="s">
        <v>949</v>
      </c>
      <c r="E466" t="s">
        <v>17</v>
      </c>
      <c r="F466" s="3">
        <v>45824</v>
      </c>
      <c r="G466" s="1">
        <f>YEAR(Patient_data[[#This Row],[Appointment_Date]])</f>
        <v>2025</v>
      </c>
      <c r="H466" s="2" t="str">
        <f>TEXT(Patient_data[[#This Row],[Appointment_Date]],"mmmm")</f>
        <v>June</v>
      </c>
      <c r="I466" s="3" t="str">
        <f>TEXT(Patient_data[[#This Row],[Appointment_Date]],"mmm-yyyy")</f>
        <v>Jun-2025</v>
      </c>
      <c r="J466" s="3">
        <v>45771</v>
      </c>
      <c r="K466" t="s">
        <v>950</v>
      </c>
      <c r="L466" t="s">
        <v>23</v>
      </c>
      <c r="M466" s="4">
        <v>25.91</v>
      </c>
      <c r="N466" t="s">
        <v>20</v>
      </c>
      <c r="O466">
        <f>Patient_data[[#This Row],[Appointment_Date]]-Patient_data[[#This Row],[Booking_Date]]</f>
        <v>53</v>
      </c>
    </row>
    <row r="467" spans="1:15" x14ac:dyDescent="0.25">
      <c r="A467">
        <v>1018</v>
      </c>
      <c r="B467">
        <v>54</v>
      </c>
      <c r="C467" t="s">
        <v>756</v>
      </c>
      <c r="D467" t="s">
        <v>951</v>
      </c>
      <c r="E467" t="s">
        <v>17</v>
      </c>
      <c r="F467" s="3">
        <v>45951</v>
      </c>
      <c r="G467" s="1">
        <f>YEAR(Patient_data[[#This Row],[Appointment_Date]])</f>
        <v>2025</v>
      </c>
      <c r="H467" s="2" t="str">
        <f>TEXT(Patient_data[[#This Row],[Appointment_Date]],"mmmm")</f>
        <v>October</v>
      </c>
      <c r="I467" s="3" t="str">
        <f>TEXT(Patient_data[[#This Row],[Appointment_Date]],"mmm-yyyy")</f>
        <v>Oct-2025</v>
      </c>
      <c r="J467" s="3">
        <v>45758</v>
      </c>
      <c r="K467" t="s">
        <v>952</v>
      </c>
      <c r="L467" t="s">
        <v>23</v>
      </c>
      <c r="M467" s="4">
        <v>52.53</v>
      </c>
      <c r="N467" t="s">
        <v>24</v>
      </c>
      <c r="O467">
        <f>Patient_data[[#This Row],[Appointment_Date]]-Patient_data[[#This Row],[Booking_Date]]</f>
        <v>193</v>
      </c>
    </row>
    <row r="468" spans="1:15" x14ac:dyDescent="0.25">
      <c r="A468">
        <v>1092</v>
      </c>
      <c r="B468">
        <v>54</v>
      </c>
      <c r="C468" t="s">
        <v>756</v>
      </c>
      <c r="D468" t="s">
        <v>953</v>
      </c>
      <c r="E468" t="s">
        <v>28</v>
      </c>
      <c r="F468" s="3">
        <v>45870</v>
      </c>
      <c r="G468" s="1">
        <f>YEAR(Patient_data[[#This Row],[Appointment_Date]])</f>
        <v>2025</v>
      </c>
      <c r="H468" s="2" t="str">
        <f>TEXT(Patient_data[[#This Row],[Appointment_Date]],"mmmm")</f>
        <v>August</v>
      </c>
      <c r="I468" s="3" t="str">
        <f>TEXT(Patient_data[[#This Row],[Appointment_Date]],"mmm-yyyy")</f>
        <v>Aug-2025</v>
      </c>
      <c r="J468" s="3">
        <v>45419</v>
      </c>
      <c r="K468" t="s">
        <v>954</v>
      </c>
      <c r="L468" t="s">
        <v>23</v>
      </c>
      <c r="M468" s="4">
        <v>467.2</v>
      </c>
      <c r="N468" t="s">
        <v>24</v>
      </c>
      <c r="O468">
        <f>Patient_data[[#This Row],[Appointment_Date]]-Patient_data[[#This Row],[Booking_Date]]</f>
        <v>451</v>
      </c>
    </row>
    <row r="469" spans="1:15" x14ac:dyDescent="0.25">
      <c r="A469">
        <v>1064</v>
      </c>
      <c r="B469">
        <v>54</v>
      </c>
      <c r="C469" t="s">
        <v>756</v>
      </c>
      <c r="D469" t="s">
        <v>955</v>
      </c>
      <c r="E469" t="s">
        <v>28</v>
      </c>
      <c r="F469" s="3">
        <v>45849</v>
      </c>
      <c r="G469" s="1">
        <f>YEAR(Patient_data[[#This Row],[Appointment_Date]])</f>
        <v>2025</v>
      </c>
      <c r="H469" s="2" t="str">
        <f>TEXT(Patient_data[[#This Row],[Appointment_Date]],"mmmm")</f>
        <v>July</v>
      </c>
      <c r="I469" s="3" t="str">
        <f>TEXT(Patient_data[[#This Row],[Appointment_Date]],"mmm-yyyy")</f>
        <v>Jul-2025</v>
      </c>
      <c r="J469" s="3">
        <v>45468</v>
      </c>
      <c r="K469" t="s">
        <v>956</v>
      </c>
      <c r="L469" t="s">
        <v>30</v>
      </c>
      <c r="M469" s="4">
        <v>38.24</v>
      </c>
      <c r="N469" t="s">
        <v>24</v>
      </c>
      <c r="O469">
        <f>Patient_data[[#This Row],[Appointment_Date]]-Patient_data[[#This Row],[Booking_Date]]</f>
        <v>381</v>
      </c>
    </row>
    <row r="470" spans="1:15" x14ac:dyDescent="0.25">
      <c r="A470">
        <v>1004</v>
      </c>
      <c r="B470">
        <v>54</v>
      </c>
      <c r="C470" t="s">
        <v>756</v>
      </c>
      <c r="D470" t="s">
        <v>957</v>
      </c>
      <c r="E470" t="s">
        <v>17</v>
      </c>
      <c r="F470" s="3">
        <v>45903</v>
      </c>
      <c r="G470" s="1">
        <f>YEAR(Patient_data[[#This Row],[Appointment_Date]])</f>
        <v>2025</v>
      </c>
      <c r="H470" s="2" t="str">
        <f>TEXT(Patient_data[[#This Row],[Appointment_Date]],"mmmm")</f>
        <v>September</v>
      </c>
      <c r="I470" s="3" t="str">
        <f>TEXT(Patient_data[[#This Row],[Appointment_Date]],"mmm-yyyy")</f>
        <v>Sep-2025</v>
      </c>
      <c r="J470" s="3">
        <v>45708</v>
      </c>
      <c r="K470" t="s">
        <v>958</v>
      </c>
      <c r="L470" t="s">
        <v>30</v>
      </c>
      <c r="M470" s="4">
        <v>85.15</v>
      </c>
      <c r="N470" t="s">
        <v>20</v>
      </c>
      <c r="O470">
        <f>Patient_data[[#This Row],[Appointment_Date]]-Patient_data[[#This Row],[Booking_Date]]</f>
        <v>195</v>
      </c>
    </row>
    <row r="471" spans="1:15" x14ac:dyDescent="0.25">
      <c r="A471">
        <v>1027</v>
      </c>
      <c r="B471">
        <v>54</v>
      </c>
      <c r="C471" t="s">
        <v>756</v>
      </c>
      <c r="D471" t="s">
        <v>959</v>
      </c>
      <c r="E471" t="s">
        <v>28</v>
      </c>
      <c r="F471" s="3">
        <v>46001</v>
      </c>
      <c r="G471" s="1">
        <f>YEAR(Patient_data[[#This Row],[Appointment_Date]])</f>
        <v>2025</v>
      </c>
      <c r="H471" s="2" t="str">
        <f>TEXT(Patient_data[[#This Row],[Appointment_Date]],"mmmm")</f>
        <v>December</v>
      </c>
      <c r="I471" s="3" t="str">
        <f>TEXT(Patient_data[[#This Row],[Appointment_Date]],"mmm-yyyy")</f>
        <v>Dec-2025</v>
      </c>
      <c r="J471" s="3">
        <v>45724</v>
      </c>
      <c r="K471" t="s">
        <v>960</v>
      </c>
      <c r="L471" t="s">
        <v>43</v>
      </c>
      <c r="M471" s="4">
        <v>6.61</v>
      </c>
      <c r="N471" t="s">
        <v>24</v>
      </c>
      <c r="O471">
        <f>Patient_data[[#This Row],[Appointment_Date]]-Patient_data[[#This Row],[Booking_Date]]</f>
        <v>277</v>
      </c>
    </row>
    <row r="472" spans="1:15" x14ac:dyDescent="0.25">
      <c r="A472">
        <v>1005</v>
      </c>
      <c r="B472">
        <v>54</v>
      </c>
      <c r="C472" t="s">
        <v>756</v>
      </c>
      <c r="D472" t="s">
        <v>961</v>
      </c>
      <c r="E472" t="s">
        <v>17</v>
      </c>
      <c r="F472" s="3">
        <v>45784</v>
      </c>
      <c r="G472" s="1">
        <f>YEAR(Patient_data[[#This Row],[Appointment_Date]])</f>
        <v>2025</v>
      </c>
      <c r="H472" s="2" t="str">
        <f>TEXT(Patient_data[[#This Row],[Appointment_Date]],"mmmm")</f>
        <v>May</v>
      </c>
      <c r="I472" s="3" t="str">
        <f>TEXT(Patient_data[[#This Row],[Appointment_Date]],"mmm-yyyy")</f>
        <v>May-2025</v>
      </c>
      <c r="J472" s="3">
        <v>45465</v>
      </c>
      <c r="K472" t="s">
        <v>962</v>
      </c>
      <c r="L472" t="s">
        <v>23</v>
      </c>
      <c r="M472" s="4">
        <v>86.3</v>
      </c>
      <c r="N472" t="s">
        <v>20</v>
      </c>
      <c r="O472">
        <f>Patient_data[[#This Row],[Appointment_Date]]-Patient_data[[#This Row],[Booking_Date]]</f>
        <v>319</v>
      </c>
    </row>
    <row r="473" spans="1:15" x14ac:dyDescent="0.25">
      <c r="A473">
        <v>1047</v>
      </c>
      <c r="B473">
        <v>54</v>
      </c>
      <c r="C473" t="s">
        <v>756</v>
      </c>
      <c r="D473" t="s">
        <v>963</v>
      </c>
      <c r="E473" t="s">
        <v>28</v>
      </c>
      <c r="F473" s="3">
        <v>45810</v>
      </c>
      <c r="G473" s="1">
        <f>YEAR(Patient_data[[#This Row],[Appointment_Date]])</f>
        <v>2025</v>
      </c>
      <c r="H473" s="2" t="str">
        <f>TEXT(Patient_data[[#This Row],[Appointment_Date]],"mmmm")</f>
        <v>June</v>
      </c>
      <c r="I473" s="3" t="str">
        <f>TEXT(Patient_data[[#This Row],[Appointment_Date]],"mmm-yyyy")</f>
        <v>Jun-2025</v>
      </c>
      <c r="J473" s="3">
        <v>45504</v>
      </c>
      <c r="K473" t="s">
        <v>964</v>
      </c>
      <c r="L473" t="s">
        <v>30</v>
      </c>
      <c r="M473" s="4">
        <v>5.15</v>
      </c>
      <c r="N473" t="s">
        <v>24</v>
      </c>
      <c r="O473">
        <f>Patient_data[[#This Row],[Appointment_Date]]-Patient_data[[#This Row],[Booking_Date]]</f>
        <v>306</v>
      </c>
    </row>
    <row r="474" spans="1:15" x14ac:dyDescent="0.25">
      <c r="A474">
        <v>1011</v>
      </c>
      <c r="B474">
        <v>53</v>
      </c>
      <c r="C474" t="s">
        <v>756</v>
      </c>
      <c r="D474" t="s">
        <v>965</v>
      </c>
      <c r="E474" t="s">
        <v>28</v>
      </c>
      <c r="F474" s="3">
        <v>45956</v>
      </c>
      <c r="G474" s="1">
        <f>YEAR(Patient_data[[#This Row],[Appointment_Date]])</f>
        <v>2025</v>
      </c>
      <c r="H474" s="2" t="str">
        <f>TEXT(Patient_data[[#This Row],[Appointment_Date]],"mmmm")</f>
        <v>October</v>
      </c>
      <c r="I474" s="3" t="str">
        <f>TEXT(Patient_data[[#This Row],[Appointment_Date]],"mmm-yyyy")</f>
        <v>Oct-2025</v>
      </c>
      <c r="J474" s="3">
        <v>45914</v>
      </c>
      <c r="K474" t="s">
        <v>966</v>
      </c>
      <c r="L474" t="s">
        <v>19</v>
      </c>
      <c r="M474" s="4">
        <v>39.19</v>
      </c>
      <c r="N474" t="s">
        <v>20</v>
      </c>
      <c r="O474">
        <f>Patient_data[[#This Row],[Appointment_Date]]-Patient_data[[#This Row],[Booking_Date]]</f>
        <v>42</v>
      </c>
    </row>
    <row r="475" spans="1:15" x14ac:dyDescent="0.25">
      <c r="A475">
        <v>1015</v>
      </c>
      <c r="B475">
        <v>53</v>
      </c>
      <c r="C475" t="s">
        <v>756</v>
      </c>
      <c r="D475" t="s">
        <v>967</v>
      </c>
      <c r="E475" t="s">
        <v>17</v>
      </c>
      <c r="F475" s="3">
        <v>45933</v>
      </c>
      <c r="G475" s="1">
        <f>YEAR(Patient_data[[#This Row],[Appointment_Date]])</f>
        <v>2025</v>
      </c>
      <c r="H475" s="2" t="str">
        <f>TEXT(Patient_data[[#This Row],[Appointment_Date]],"mmmm")</f>
        <v>October</v>
      </c>
      <c r="I475" s="3" t="str">
        <f>TEXT(Patient_data[[#This Row],[Appointment_Date]],"mmm-yyyy")</f>
        <v>Oct-2025</v>
      </c>
      <c r="J475" s="3">
        <v>45839</v>
      </c>
      <c r="K475" t="s">
        <v>968</v>
      </c>
      <c r="L475" t="s">
        <v>43</v>
      </c>
      <c r="M475" s="4">
        <v>4.51</v>
      </c>
      <c r="N475" t="s">
        <v>20</v>
      </c>
      <c r="O475">
        <f>Patient_data[[#This Row],[Appointment_Date]]-Patient_data[[#This Row],[Booking_Date]]</f>
        <v>94</v>
      </c>
    </row>
    <row r="476" spans="1:15" x14ac:dyDescent="0.25">
      <c r="A476">
        <v>1015</v>
      </c>
      <c r="B476">
        <v>53</v>
      </c>
      <c r="C476" t="s">
        <v>756</v>
      </c>
      <c r="D476" t="s">
        <v>969</v>
      </c>
      <c r="E476" t="s">
        <v>17</v>
      </c>
      <c r="F476" s="3">
        <v>45768</v>
      </c>
      <c r="G476" s="1">
        <f>YEAR(Patient_data[[#This Row],[Appointment_Date]])</f>
        <v>2025</v>
      </c>
      <c r="H476" s="2" t="str">
        <f>TEXT(Patient_data[[#This Row],[Appointment_Date]],"mmmm")</f>
        <v>April</v>
      </c>
      <c r="I476" s="3" t="str">
        <f>TEXT(Patient_data[[#This Row],[Appointment_Date]],"mmm-yyyy")</f>
        <v>Apr-2025</v>
      </c>
      <c r="J476" s="3">
        <v>45529</v>
      </c>
      <c r="K476" t="s">
        <v>970</v>
      </c>
      <c r="L476" t="s">
        <v>23</v>
      </c>
      <c r="M476" s="4">
        <v>299.02999999999997</v>
      </c>
      <c r="N476" t="s">
        <v>20</v>
      </c>
      <c r="O476">
        <f>Patient_data[[#This Row],[Appointment_Date]]-Patient_data[[#This Row],[Booking_Date]]</f>
        <v>239</v>
      </c>
    </row>
    <row r="477" spans="1:15" x14ac:dyDescent="0.25">
      <c r="A477">
        <v>1051</v>
      </c>
      <c r="B477">
        <v>53</v>
      </c>
      <c r="C477" t="s">
        <v>756</v>
      </c>
      <c r="D477" t="s">
        <v>971</v>
      </c>
      <c r="E477" t="s">
        <v>17</v>
      </c>
      <c r="F477" s="3">
        <v>45837</v>
      </c>
      <c r="G477" s="1">
        <f>YEAR(Patient_data[[#This Row],[Appointment_Date]])</f>
        <v>2025</v>
      </c>
      <c r="H477" s="2" t="str">
        <f>TEXT(Patient_data[[#This Row],[Appointment_Date]],"mmmm")</f>
        <v>June</v>
      </c>
      <c r="I477" s="3" t="str">
        <f>TEXT(Patient_data[[#This Row],[Appointment_Date]],"mmm-yyyy")</f>
        <v>Jun-2025</v>
      </c>
      <c r="J477" s="3">
        <v>45548</v>
      </c>
      <c r="K477" t="s">
        <v>972</v>
      </c>
      <c r="L477" t="s">
        <v>19</v>
      </c>
      <c r="M477" s="4">
        <v>16.39</v>
      </c>
      <c r="N477" t="s">
        <v>20</v>
      </c>
      <c r="O477">
        <f>Patient_data[[#This Row],[Appointment_Date]]-Patient_data[[#This Row],[Booking_Date]]</f>
        <v>289</v>
      </c>
    </row>
    <row r="478" spans="1:15" x14ac:dyDescent="0.25">
      <c r="A478">
        <v>1084</v>
      </c>
      <c r="B478">
        <v>53</v>
      </c>
      <c r="C478" t="s">
        <v>756</v>
      </c>
      <c r="D478" t="s">
        <v>973</v>
      </c>
      <c r="E478" t="s">
        <v>28</v>
      </c>
      <c r="F478" s="3">
        <v>45966</v>
      </c>
      <c r="G478" s="1">
        <f>YEAR(Patient_data[[#This Row],[Appointment_Date]])</f>
        <v>2025</v>
      </c>
      <c r="H478" s="2" t="str">
        <f>TEXT(Patient_data[[#This Row],[Appointment_Date]],"mmmm")</f>
        <v>November</v>
      </c>
      <c r="I478" s="3" t="str">
        <f>TEXT(Patient_data[[#This Row],[Appointment_Date]],"mmm-yyyy")</f>
        <v>Nov-2025</v>
      </c>
      <c r="J478" s="3">
        <v>45870</v>
      </c>
      <c r="K478" t="s">
        <v>974</v>
      </c>
      <c r="L478" t="s">
        <v>19</v>
      </c>
      <c r="M478" s="4">
        <v>234.99</v>
      </c>
      <c r="N478" t="s">
        <v>24</v>
      </c>
      <c r="O478">
        <f>Patient_data[[#This Row],[Appointment_Date]]-Patient_data[[#This Row],[Booking_Date]]</f>
        <v>96</v>
      </c>
    </row>
    <row r="479" spans="1:15" x14ac:dyDescent="0.25">
      <c r="A479">
        <v>1021</v>
      </c>
      <c r="B479">
        <v>53</v>
      </c>
      <c r="C479" t="s">
        <v>756</v>
      </c>
      <c r="D479" t="s">
        <v>975</v>
      </c>
      <c r="E479" t="s">
        <v>17</v>
      </c>
      <c r="F479" s="3">
        <v>46069</v>
      </c>
      <c r="G479" s="1">
        <f>YEAR(Patient_data[[#This Row],[Appointment_Date]])</f>
        <v>2026</v>
      </c>
      <c r="H479" s="2" t="str">
        <f>TEXT(Patient_data[[#This Row],[Appointment_Date]],"mmmm")</f>
        <v>February</v>
      </c>
      <c r="I479" s="3" t="str">
        <f>TEXT(Patient_data[[#This Row],[Appointment_Date]],"mmm-yyyy")</f>
        <v>Feb-2026</v>
      </c>
      <c r="J479" s="3">
        <v>45751</v>
      </c>
      <c r="K479" t="s">
        <v>976</v>
      </c>
      <c r="L479" t="s">
        <v>19</v>
      </c>
      <c r="M479" s="4">
        <v>43.75</v>
      </c>
      <c r="N479" t="s">
        <v>24</v>
      </c>
      <c r="O479">
        <f>Patient_data[[#This Row],[Appointment_Date]]-Patient_data[[#This Row],[Booking_Date]]</f>
        <v>318</v>
      </c>
    </row>
    <row r="480" spans="1:15" x14ac:dyDescent="0.25">
      <c r="A480">
        <v>1090</v>
      </c>
      <c r="B480">
        <v>53</v>
      </c>
      <c r="C480" t="s">
        <v>756</v>
      </c>
      <c r="D480" t="s">
        <v>977</v>
      </c>
      <c r="E480" t="s">
        <v>28</v>
      </c>
      <c r="F480" s="3">
        <v>46068</v>
      </c>
      <c r="G480" s="1">
        <f>YEAR(Patient_data[[#This Row],[Appointment_Date]])</f>
        <v>2026</v>
      </c>
      <c r="H480" s="2" t="str">
        <f>TEXT(Patient_data[[#This Row],[Appointment_Date]],"mmmm")</f>
        <v>February</v>
      </c>
      <c r="I480" s="3" t="str">
        <f>TEXT(Patient_data[[#This Row],[Appointment_Date]],"mmm-yyyy")</f>
        <v>Feb-2026</v>
      </c>
      <c r="J480" s="3">
        <v>45774</v>
      </c>
      <c r="K480" t="s">
        <v>978</v>
      </c>
      <c r="L480" t="s">
        <v>43</v>
      </c>
      <c r="M480" s="4">
        <v>163.4</v>
      </c>
      <c r="N480" t="s">
        <v>24</v>
      </c>
      <c r="O480">
        <f>Patient_data[[#This Row],[Appointment_Date]]-Patient_data[[#This Row],[Booking_Date]]</f>
        <v>294</v>
      </c>
    </row>
    <row r="481" spans="1:15" x14ac:dyDescent="0.25">
      <c r="A481">
        <v>1020</v>
      </c>
      <c r="B481">
        <v>53</v>
      </c>
      <c r="C481" t="s">
        <v>756</v>
      </c>
      <c r="D481" t="s">
        <v>979</v>
      </c>
      <c r="E481" t="s">
        <v>17</v>
      </c>
      <c r="F481" s="3">
        <v>45862</v>
      </c>
      <c r="G481" s="1">
        <f>YEAR(Patient_data[[#This Row],[Appointment_Date]])</f>
        <v>2025</v>
      </c>
      <c r="H481" s="2" t="str">
        <f>TEXT(Patient_data[[#This Row],[Appointment_Date]],"mmmm")</f>
        <v>July</v>
      </c>
      <c r="I481" s="3" t="str">
        <f>TEXT(Patient_data[[#This Row],[Appointment_Date]],"mmm-yyyy")</f>
        <v>Jul-2025</v>
      </c>
      <c r="J481" s="3">
        <v>45691</v>
      </c>
      <c r="K481" t="s">
        <v>980</v>
      </c>
      <c r="L481" t="s">
        <v>19</v>
      </c>
      <c r="M481" s="4">
        <v>94.14</v>
      </c>
      <c r="N481" t="s">
        <v>24</v>
      </c>
      <c r="O481">
        <f>Patient_data[[#This Row],[Appointment_Date]]-Patient_data[[#This Row],[Booking_Date]]</f>
        <v>171</v>
      </c>
    </row>
    <row r="482" spans="1:15" x14ac:dyDescent="0.25">
      <c r="A482">
        <v>1016</v>
      </c>
      <c r="B482">
        <v>53</v>
      </c>
      <c r="C482" t="s">
        <v>756</v>
      </c>
      <c r="D482" t="s">
        <v>981</v>
      </c>
      <c r="E482" t="s">
        <v>28</v>
      </c>
      <c r="F482" s="3">
        <v>45806</v>
      </c>
      <c r="G482" s="1">
        <f>YEAR(Patient_data[[#This Row],[Appointment_Date]])</f>
        <v>2025</v>
      </c>
      <c r="H482" s="2" t="str">
        <f>TEXT(Patient_data[[#This Row],[Appointment_Date]],"mmmm")</f>
        <v>May</v>
      </c>
      <c r="I482" s="3" t="str">
        <f>TEXT(Patient_data[[#This Row],[Appointment_Date]],"mmm-yyyy")</f>
        <v>May-2025</v>
      </c>
      <c r="J482" s="3">
        <v>45710</v>
      </c>
      <c r="K482" t="s">
        <v>982</v>
      </c>
      <c r="L482" t="s">
        <v>43</v>
      </c>
      <c r="M482" s="4">
        <v>277.5</v>
      </c>
      <c r="N482" t="s">
        <v>24</v>
      </c>
      <c r="O482">
        <f>Patient_data[[#This Row],[Appointment_Date]]-Patient_data[[#This Row],[Booking_Date]]</f>
        <v>96</v>
      </c>
    </row>
    <row r="483" spans="1:15" x14ac:dyDescent="0.25">
      <c r="A483">
        <v>1035</v>
      </c>
      <c r="B483">
        <v>53</v>
      </c>
      <c r="C483" t="s">
        <v>756</v>
      </c>
      <c r="D483" t="s">
        <v>983</v>
      </c>
      <c r="E483" t="s">
        <v>17</v>
      </c>
      <c r="F483" s="3">
        <v>46048</v>
      </c>
      <c r="G483" s="1">
        <f>YEAR(Patient_data[[#This Row],[Appointment_Date]])</f>
        <v>2026</v>
      </c>
      <c r="H483" s="2" t="str">
        <f>TEXT(Patient_data[[#This Row],[Appointment_Date]],"mmmm")</f>
        <v>January</v>
      </c>
      <c r="I483" s="3" t="str">
        <f>TEXT(Patient_data[[#This Row],[Appointment_Date]],"mmm-yyyy")</f>
        <v>Jan-2026</v>
      </c>
      <c r="J483" s="3">
        <v>45562</v>
      </c>
      <c r="K483" t="s">
        <v>984</v>
      </c>
      <c r="L483" t="s">
        <v>19</v>
      </c>
      <c r="M483" s="4">
        <v>374.03</v>
      </c>
      <c r="N483" t="s">
        <v>24</v>
      </c>
      <c r="O483">
        <f>Patient_data[[#This Row],[Appointment_Date]]-Patient_data[[#This Row],[Booking_Date]]</f>
        <v>486</v>
      </c>
    </row>
    <row r="484" spans="1:15" x14ac:dyDescent="0.25">
      <c r="A484">
        <v>1092</v>
      </c>
      <c r="B484">
        <v>53</v>
      </c>
      <c r="C484" t="s">
        <v>756</v>
      </c>
      <c r="D484" t="s">
        <v>985</v>
      </c>
      <c r="E484" t="s">
        <v>28</v>
      </c>
      <c r="F484" s="3">
        <v>45955</v>
      </c>
      <c r="G484" s="1">
        <f>YEAR(Patient_data[[#This Row],[Appointment_Date]])</f>
        <v>2025</v>
      </c>
      <c r="H484" s="2" t="str">
        <f>TEXT(Patient_data[[#This Row],[Appointment_Date]],"mmmm")</f>
        <v>October</v>
      </c>
      <c r="I484" s="3" t="str">
        <f>TEXT(Patient_data[[#This Row],[Appointment_Date]],"mmm-yyyy")</f>
        <v>Oct-2025</v>
      </c>
      <c r="J484" s="3">
        <v>45435</v>
      </c>
      <c r="K484" t="s">
        <v>986</v>
      </c>
      <c r="L484" t="s">
        <v>43</v>
      </c>
      <c r="M484" s="4">
        <v>18.27</v>
      </c>
      <c r="N484" t="s">
        <v>24</v>
      </c>
      <c r="O484">
        <f>Patient_data[[#This Row],[Appointment_Date]]-Patient_data[[#This Row],[Booking_Date]]</f>
        <v>520</v>
      </c>
    </row>
    <row r="485" spans="1:15" x14ac:dyDescent="0.25">
      <c r="A485">
        <v>1040</v>
      </c>
      <c r="B485">
        <v>52</v>
      </c>
      <c r="C485" t="s">
        <v>756</v>
      </c>
      <c r="D485" t="s">
        <v>987</v>
      </c>
      <c r="E485" t="s">
        <v>17</v>
      </c>
      <c r="F485" s="3">
        <v>45795</v>
      </c>
      <c r="G485" s="1">
        <f>YEAR(Patient_data[[#This Row],[Appointment_Date]])</f>
        <v>2025</v>
      </c>
      <c r="H485" s="2" t="str">
        <f>TEXT(Patient_data[[#This Row],[Appointment_Date]],"mmmm")</f>
        <v>May</v>
      </c>
      <c r="I485" s="3" t="str">
        <f>TEXT(Patient_data[[#This Row],[Appointment_Date]],"mmm-yyyy")</f>
        <v>May-2025</v>
      </c>
      <c r="J485" s="3">
        <v>45703</v>
      </c>
      <c r="K485" t="s">
        <v>988</v>
      </c>
      <c r="L485" t="s">
        <v>30</v>
      </c>
      <c r="M485" s="4">
        <v>30.7</v>
      </c>
      <c r="N485" t="s">
        <v>20</v>
      </c>
      <c r="O485">
        <f>Patient_data[[#This Row],[Appointment_Date]]-Patient_data[[#This Row],[Booking_Date]]</f>
        <v>92</v>
      </c>
    </row>
    <row r="486" spans="1:15" x14ac:dyDescent="0.25">
      <c r="A486">
        <v>1097</v>
      </c>
      <c r="B486">
        <v>52</v>
      </c>
      <c r="C486" t="s">
        <v>756</v>
      </c>
      <c r="D486" t="s">
        <v>989</v>
      </c>
      <c r="E486" t="s">
        <v>17</v>
      </c>
      <c r="F486" s="3">
        <v>46031</v>
      </c>
      <c r="G486" s="1">
        <f>YEAR(Patient_data[[#This Row],[Appointment_Date]])</f>
        <v>2026</v>
      </c>
      <c r="H486" s="2" t="str">
        <f>TEXT(Patient_data[[#This Row],[Appointment_Date]],"mmmm")</f>
        <v>January</v>
      </c>
      <c r="I486" s="3" t="str">
        <f>TEXT(Patient_data[[#This Row],[Appointment_Date]],"mmm-yyyy")</f>
        <v>Jan-2026</v>
      </c>
      <c r="J486" s="3">
        <v>45875</v>
      </c>
      <c r="K486" t="s">
        <v>990</v>
      </c>
      <c r="L486" t="s">
        <v>19</v>
      </c>
      <c r="M486" s="4">
        <v>243.94</v>
      </c>
      <c r="N486" t="s">
        <v>24</v>
      </c>
      <c r="O486">
        <f>Patient_data[[#This Row],[Appointment_Date]]-Patient_data[[#This Row],[Booking_Date]]</f>
        <v>156</v>
      </c>
    </row>
    <row r="487" spans="1:15" x14ac:dyDescent="0.25">
      <c r="A487">
        <v>1051</v>
      </c>
      <c r="B487">
        <v>52</v>
      </c>
      <c r="C487" t="s">
        <v>756</v>
      </c>
      <c r="D487" t="s">
        <v>991</v>
      </c>
      <c r="E487" t="s">
        <v>17</v>
      </c>
      <c r="F487" s="3">
        <v>45907</v>
      </c>
      <c r="G487" s="1">
        <f>YEAR(Patient_data[[#This Row],[Appointment_Date]])</f>
        <v>2025</v>
      </c>
      <c r="H487" s="2" t="str">
        <f>TEXT(Patient_data[[#This Row],[Appointment_Date]],"mmmm")</f>
        <v>September</v>
      </c>
      <c r="I487" s="3" t="str">
        <f>TEXT(Patient_data[[#This Row],[Appointment_Date]],"mmm-yyyy")</f>
        <v>Sep-2025</v>
      </c>
      <c r="J487" s="3">
        <v>45405</v>
      </c>
      <c r="K487" t="s">
        <v>992</v>
      </c>
      <c r="L487" t="s">
        <v>30</v>
      </c>
      <c r="M487" s="4">
        <v>50.24</v>
      </c>
      <c r="N487" t="s">
        <v>24</v>
      </c>
      <c r="O487">
        <f>Patient_data[[#This Row],[Appointment_Date]]-Patient_data[[#This Row],[Booking_Date]]</f>
        <v>502</v>
      </c>
    </row>
    <row r="488" spans="1:15" x14ac:dyDescent="0.25">
      <c r="A488">
        <v>1073</v>
      </c>
      <c r="B488">
        <v>52</v>
      </c>
      <c r="C488" t="s">
        <v>756</v>
      </c>
      <c r="D488" t="s">
        <v>993</v>
      </c>
      <c r="E488" t="s">
        <v>17</v>
      </c>
      <c r="F488" s="3">
        <v>46098</v>
      </c>
      <c r="G488" s="1">
        <f>YEAR(Patient_data[[#This Row],[Appointment_Date]])</f>
        <v>2026</v>
      </c>
      <c r="H488" s="2" t="str">
        <f>TEXT(Patient_data[[#This Row],[Appointment_Date]],"mmmm")</f>
        <v>March</v>
      </c>
      <c r="I488" s="3" t="str">
        <f>TEXT(Patient_data[[#This Row],[Appointment_Date]],"mmm-yyyy")</f>
        <v>Mar-2026</v>
      </c>
      <c r="J488" s="3">
        <v>45950</v>
      </c>
      <c r="K488" t="s">
        <v>994</v>
      </c>
      <c r="L488" t="s">
        <v>19</v>
      </c>
      <c r="M488" s="4">
        <v>55.69</v>
      </c>
      <c r="N488" t="s">
        <v>24</v>
      </c>
      <c r="O488">
        <f>Patient_data[[#This Row],[Appointment_Date]]-Patient_data[[#This Row],[Booking_Date]]</f>
        <v>148</v>
      </c>
    </row>
    <row r="489" spans="1:15" x14ac:dyDescent="0.25">
      <c r="A489">
        <v>1079</v>
      </c>
      <c r="B489">
        <v>52</v>
      </c>
      <c r="C489" t="s">
        <v>756</v>
      </c>
      <c r="D489" t="s">
        <v>995</v>
      </c>
      <c r="E489" t="s">
        <v>17</v>
      </c>
      <c r="F489" s="3">
        <v>45977</v>
      </c>
      <c r="G489" s="1">
        <f>YEAR(Patient_data[[#This Row],[Appointment_Date]])</f>
        <v>2025</v>
      </c>
      <c r="H489" s="2" t="str">
        <f>TEXT(Patient_data[[#This Row],[Appointment_Date]],"mmmm")</f>
        <v>November</v>
      </c>
      <c r="I489" s="3" t="str">
        <f>TEXT(Patient_data[[#This Row],[Appointment_Date]],"mmm-yyyy")</f>
        <v>Nov-2025</v>
      </c>
      <c r="J489" s="3">
        <v>45740</v>
      </c>
      <c r="K489" t="s">
        <v>996</v>
      </c>
      <c r="L489" t="s">
        <v>30</v>
      </c>
      <c r="M489" s="4">
        <v>24.89</v>
      </c>
      <c r="N489" t="s">
        <v>20</v>
      </c>
      <c r="O489">
        <f>Patient_data[[#This Row],[Appointment_Date]]-Patient_data[[#This Row],[Booking_Date]]</f>
        <v>237</v>
      </c>
    </row>
    <row r="490" spans="1:15" x14ac:dyDescent="0.25">
      <c r="A490">
        <v>1080</v>
      </c>
      <c r="B490">
        <v>52</v>
      </c>
      <c r="C490" t="s">
        <v>756</v>
      </c>
      <c r="D490" t="s">
        <v>997</v>
      </c>
      <c r="E490" t="s">
        <v>17</v>
      </c>
      <c r="F490" s="3">
        <v>45881</v>
      </c>
      <c r="G490" s="1">
        <f>YEAR(Patient_data[[#This Row],[Appointment_Date]])</f>
        <v>2025</v>
      </c>
      <c r="H490" s="2" t="str">
        <f>TEXT(Patient_data[[#This Row],[Appointment_Date]],"mmmm")</f>
        <v>August</v>
      </c>
      <c r="I490" s="3" t="str">
        <f>TEXT(Patient_data[[#This Row],[Appointment_Date]],"mmm-yyyy")</f>
        <v>Aug-2025</v>
      </c>
      <c r="J490" s="3">
        <v>45679</v>
      </c>
      <c r="K490" t="s">
        <v>998</v>
      </c>
      <c r="L490" t="s">
        <v>43</v>
      </c>
      <c r="M490" s="4">
        <v>96.21</v>
      </c>
      <c r="N490" t="s">
        <v>20</v>
      </c>
      <c r="O490">
        <f>Patient_data[[#This Row],[Appointment_Date]]-Patient_data[[#This Row],[Booking_Date]]</f>
        <v>202</v>
      </c>
    </row>
    <row r="491" spans="1:15" x14ac:dyDescent="0.25">
      <c r="A491">
        <v>1073</v>
      </c>
      <c r="B491">
        <v>52</v>
      </c>
      <c r="C491" t="s">
        <v>756</v>
      </c>
      <c r="D491" t="s">
        <v>999</v>
      </c>
      <c r="E491" t="s">
        <v>17</v>
      </c>
      <c r="F491" s="3">
        <v>45925</v>
      </c>
      <c r="G491" s="1">
        <f>YEAR(Patient_data[[#This Row],[Appointment_Date]])</f>
        <v>2025</v>
      </c>
      <c r="H491" s="2" t="str">
        <f>TEXT(Patient_data[[#This Row],[Appointment_Date]],"mmmm")</f>
        <v>September</v>
      </c>
      <c r="I491" s="3" t="str">
        <f>TEXT(Patient_data[[#This Row],[Appointment_Date]],"mmm-yyyy")</f>
        <v>Sep-2025</v>
      </c>
      <c r="J491" s="3">
        <v>45668</v>
      </c>
      <c r="K491" t="s">
        <v>1000</v>
      </c>
      <c r="L491" t="s">
        <v>30</v>
      </c>
      <c r="M491" s="4">
        <v>96.62</v>
      </c>
      <c r="N491" t="s">
        <v>20</v>
      </c>
      <c r="O491">
        <f>Patient_data[[#This Row],[Appointment_Date]]-Patient_data[[#This Row],[Booking_Date]]</f>
        <v>257</v>
      </c>
    </row>
    <row r="492" spans="1:15" x14ac:dyDescent="0.25">
      <c r="A492">
        <v>1020</v>
      </c>
      <c r="B492">
        <v>52</v>
      </c>
      <c r="C492" t="s">
        <v>756</v>
      </c>
      <c r="D492" t="s">
        <v>1001</v>
      </c>
      <c r="E492" t="s">
        <v>17</v>
      </c>
      <c r="F492" s="3">
        <v>46069</v>
      </c>
      <c r="G492" s="1">
        <f>YEAR(Patient_data[[#This Row],[Appointment_Date]])</f>
        <v>2026</v>
      </c>
      <c r="H492" s="2" t="str">
        <f>TEXT(Patient_data[[#This Row],[Appointment_Date]],"mmmm")</f>
        <v>February</v>
      </c>
      <c r="I492" s="3" t="str">
        <f>TEXT(Patient_data[[#This Row],[Appointment_Date]],"mmm-yyyy")</f>
        <v>Feb-2026</v>
      </c>
      <c r="J492" s="3">
        <v>45730</v>
      </c>
      <c r="K492" t="s">
        <v>1002</v>
      </c>
      <c r="L492" t="s">
        <v>23</v>
      </c>
      <c r="M492" s="4">
        <v>46.4</v>
      </c>
      <c r="N492" t="s">
        <v>20</v>
      </c>
      <c r="O492">
        <f>Patient_data[[#This Row],[Appointment_Date]]-Patient_data[[#This Row],[Booking_Date]]</f>
        <v>339</v>
      </c>
    </row>
    <row r="493" spans="1:15" x14ac:dyDescent="0.25">
      <c r="A493">
        <v>1078</v>
      </c>
      <c r="B493">
        <v>52</v>
      </c>
      <c r="C493" t="s">
        <v>756</v>
      </c>
      <c r="D493" t="s">
        <v>1003</v>
      </c>
      <c r="E493" t="s">
        <v>28</v>
      </c>
      <c r="F493" s="3">
        <v>45985</v>
      </c>
      <c r="G493" s="1">
        <f>YEAR(Patient_data[[#This Row],[Appointment_Date]])</f>
        <v>2025</v>
      </c>
      <c r="H493" s="2" t="str">
        <f>TEXT(Patient_data[[#This Row],[Appointment_Date]],"mmmm")</f>
        <v>November</v>
      </c>
      <c r="I493" s="3" t="str">
        <f>TEXT(Patient_data[[#This Row],[Appointment_Date]],"mmm-yyyy")</f>
        <v>Nov-2025</v>
      </c>
      <c r="J493" s="3">
        <v>45422</v>
      </c>
      <c r="K493" t="s">
        <v>1004</v>
      </c>
      <c r="L493" t="s">
        <v>30</v>
      </c>
      <c r="M493" s="4">
        <v>164.9</v>
      </c>
      <c r="N493" t="s">
        <v>20</v>
      </c>
      <c r="O493">
        <f>Patient_data[[#This Row],[Appointment_Date]]-Patient_data[[#This Row],[Booking_Date]]</f>
        <v>563</v>
      </c>
    </row>
    <row r="494" spans="1:15" x14ac:dyDescent="0.25">
      <c r="A494">
        <v>1100</v>
      </c>
      <c r="B494">
        <v>52</v>
      </c>
      <c r="C494" t="s">
        <v>756</v>
      </c>
      <c r="D494" t="s">
        <v>1005</v>
      </c>
      <c r="E494" t="s">
        <v>28</v>
      </c>
      <c r="F494" s="3">
        <v>45967</v>
      </c>
      <c r="G494" s="1">
        <f>YEAR(Patient_data[[#This Row],[Appointment_Date]])</f>
        <v>2025</v>
      </c>
      <c r="H494" s="2" t="str">
        <f>TEXT(Patient_data[[#This Row],[Appointment_Date]],"mmmm")</f>
        <v>November</v>
      </c>
      <c r="I494" s="3" t="str">
        <f>TEXT(Patient_data[[#This Row],[Appointment_Date]],"mmm-yyyy")</f>
        <v>Nov-2025</v>
      </c>
      <c r="J494" s="3">
        <v>45556</v>
      </c>
      <c r="K494" t="s">
        <v>1006</v>
      </c>
      <c r="L494" t="s">
        <v>19</v>
      </c>
      <c r="M494" s="4">
        <v>44.09</v>
      </c>
      <c r="N494" t="s">
        <v>24</v>
      </c>
      <c r="O494">
        <f>Patient_data[[#This Row],[Appointment_Date]]-Patient_data[[#This Row],[Booking_Date]]</f>
        <v>411</v>
      </c>
    </row>
    <row r="495" spans="1:15" x14ac:dyDescent="0.25">
      <c r="A495">
        <v>1025</v>
      </c>
      <c r="B495">
        <v>52</v>
      </c>
      <c r="C495" t="s">
        <v>756</v>
      </c>
      <c r="D495" t="s">
        <v>1007</v>
      </c>
      <c r="E495" t="s">
        <v>17</v>
      </c>
      <c r="F495" s="3">
        <v>45813</v>
      </c>
      <c r="G495" s="1">
        <f>YEAR(Patient_data[[#This Row],[Appointment_Date]])</f>
        <v>2025</v>
      </c>
      <c r="H495" s="2" t="str">
        <f>TEXT(Patient_data[[#This Row],[Appointment_Date]],"mmmm")</f>
        <v>June</v>
      </c>
      <c r="I495" s="3" t="str">
        <f>TEXT(Patient_data[[#This Row],[Appointment_Date]],"mmm-yyyy")</f>
        <v>Jun-2025</v>
      </c>
      <c r="J495" s="3">
        <v>45602</v>
      </c>
      <c r="K495" t="s">
        <v>1008</v>
      </c>
      <c r="L495" t="s">
        <v>43</v>
      </c>
      <c r="M495" s="4">
        <v>219.97</v>
      </c>
      <c r="N495" t="s">
        <v>20</v>
      </c>
      <c r="O495">
        <f>Patient_data[[#This Row],[Appointment_Date]]-Patient_data[[#This Row],[Booking_Date]]</f>
        <v>211</v>
      </c>
    </row>
    <row r="496" spans="1:15" x14ac:dyDescent="0.25">
      <c r="A496">
        <v>1068</v>
      </c>
      <c r="B496">
        <v>52</v>
      </c>
      <c r="C496" t="s">
        <v>756</v>
      </c>
      <c r="D496" t="s">
        <v>1009</v>
      </c>
      <c r="E496" t="s">
        <v>28</v>
      </c>
      <c r="F496" s="3">
        <v>46034</v>
      </c>
      <c r="G496" s="1">
        <f>YEAR(Patient_data[[#This Row],[Appointment_Date]])</f>
        <v>2026</v>
      </c>
      <c r="H496" s="2" t="str">
        <f>TEXT(Patient_data[[#This Row],[Appointment_Date]],"mmmm")</f>
        <v>January</v>
      </c>
      <c r="I496" s="3" t="str">
        <f>TEXT(Patient_data[[#This Row],[Appointment_Date]],"mmm-yyyy")</f>
        <v>Jan-2026</v>
      </c>
      <c r="J496" s="3">
        <v>45543</v>
      </c>
      <c r="K496" t="s">
        <v>1010</v>
      </c>
      <c r="L496" t="s">
        <v>19</v>
      </c>
      <c r="M496" s="4">
        <v>59.11</v>
      </c>
      <c r="N496" t="s">
        <v>20</v>
      </c>
      <c r="O496">
        <f>Patient_data[[#This Row],[Appointment_Date]]-Patient_data[[#This Row],[Booking_Date]]</f>
        <v>491</v>
      </c>
    </row>
    <row r="497" spans="1:15" x14ac:dyDescent="0.25">
      <c r="A497">
        <v>1021</v>
      </c>
      <c r="B497">
        <v>51</v>
      </c>
      <c r="C497" t="s">
        <v>756</v>
      </c>
      <c r="D497" t="s">
        <v>1011</v>
      </c>
      <c r="E497" t="s">
        <v>17</v>
      </c>
      <c r="F497" s="3">
        <v>46018</v>
      </c>
      <c r="G497" s="1">
        <f>YEAR(Patient_data[[#This Row],[Appointment_Date]])</f>
        <v>2025</v>
      </c>
      <c r="H497" s="2" t="str">
        <f>TEXT(Patient_data[[#This Row],[Appointment_Date]],"mmmm")</f>
        <v>December</v>
      </c>
      <c r="I497" s="3" t="str">
        <f>TEXT(Patient_data[[#This Row],[Appointment_Date]],"mmm-yyyy")</f>
        <v>Dec-2025</v>
      </c>
      <c r="J497" s="3">
        <v>45668</v>
      </c>
      <c r="K497" t="s">
        <v>1012</v>
      </c>
      <c r="L497" t="s">
        <v>23</v>
      </c>
      <c r="M497" s="4">
        <v>76.260000000000005</v>
      </c>
      <c r="N497" t="s">
        <v>20</v>
      </c>
      <c r="O497">
        <f>Patient_data[[#This Row],[Appointment_Date]]-Patient_data[[#This Row],[Booking_Date]]</f>
        <v>350</v>
      </c>
    </row>
    <row r="498" spans="1:15" x14ac:dyDescent="0.25">
      <c r="A498">
        <v>1060</v>
      </c>
      <c r="B498">
        <v>51</v>
      </c>
      <c r="C498" t="s">
        <v>756</v>
      </c>
      <c r="D498" t="s">
        <v>1013</v>
      </c>
      <c r="E498" t="s">
        <v>28</v>
      </c>
      <c r="F498" s="3">
        <v>45844</v>
      </c>
      <c r="G498" s="1">
        <f>YEAR(Patient_data[[#This Row],[Appointment_Date]])</f>
        <v>2025</v>
      </c>
      <c r="H498" s="2" t="str">
        <f>TEXT(Patient_data[[#This Row],[Appointment_Date]],"mmmm")</f>
        <v>July</v>
      </c>
      <c r="I498" s="3" t="str">
        <f>TEXT(Patient_data[[#This Row],[Appointment_Date]],"mmm-yyyy")</f>
        <v>Jul-2025</v>
      </c>
      <c r="J498" s="3">
        <v>45765</v>
      </c>
      <c r="K498" t="s">
        <v>1014</v>
      </c>
      <c r="L498" t="s">
        <v>23</v>
      </c>
      <c r="M498" s="4">
        <v>433.55</v>
      </c>
      <c r="N498" t="s">
        <v>24</v>
      </c>
      <c r="O498">
        <f>Patient_data[[#This Row],[Appointment_Date]]-Patient_data[[#This Row],[Booking_Date]]</f>
        <v>79</v>
      </c>
    </row>
    <row r="499" spans="1:15" x14ac:dyDescent="0.25">
      <c r="A499">
        <v>1074</v>
      </c>
      <c r="B499">
        <v>51</v>
      </c>
      <c r="C499" t="s">
        <v>756</v>
      </c>
      <c r="D499" t="s">
        <v>1015</v>
      </c>
      <c r="E499" t="s">
        <v>17</v>
      </c>
      <c r="F499" s="3">
        <v>46019</v>
      </c>
      <c r="G499" s="1">
        <f>YEAR(Patient_data[[#This Row],[Appointment_Date]])</f>
        <v>2025</v>
      </c>
      <c r="H499" s="2" t="str">
        <f>TEXT(Patient_data[[#This Row],[Appointment_Date]],"mmmm")</f>
        <v>December</v>
      </c>
      <c r="I499" s="3" t="str">
        <f>TEXT(Patient_data[[#This Row],[Appointment_Date]],"mmm-yyyy")</f>
        <v>Dec-2025</v>
      </c>
      <c r="J499" s="3">
        <v>45764</v>
      </c>
      <c r="K499" t="s">
        <v>1016</v>
      </c>
      <c r="L499" t="s">
        <v>23</v>
      </c>
      <c r="M499" s="4">
        <v>77.849999999999994</v>
      </c>
      <c r="N499" t="s">
        <v>20</v>
      </c>
      <c r="O499">
        <f>Patient_data[[#This Row],[Appointment_Date]]-Patient_data[[#This Row],[Booking_Date]]</f>
        <v>255</v>
      </c>
    </row>
    <row r="500" spans="1:15" x14ac:dyDescent="0.25">
      <c r="A500">
        <v>1047</v>
      </c>
      <c r="B500">
        <v>51</v>
      </c>
      <c r="C500" t="s">
        <v>756</v>
      </c>
      <c r="D500" t="s">
        <v>1017</v>
      </c>
      <c r="E500" t="s">
        <v>28</v>
      </c>
      <c r="F500" s="3">
        <v>45962</v>
      </c>
      <c r="G500" s="1">
        <f>YEAR(Patient_data[[#This Row],[Appointment_Date]])</f>
        <v>2025</v>
      </c>
      <c r="H500" s="2" t="str">
        <f>TEXT(Patient_data[[#This Row],[Appointment_Date]],"mmmm")</f>
        <v>November</v>
      </c>
      <c r="I500" s="3" t="str">
        <f>TEXT(Patient_data[[#This Row],[Appointment_Date]],"mmm-yyyy")</f>
        <v>Nov-2025</v>
      </c>
      <c r="J500" s="3">
        <v>45928</v>
      </c>
      <c r="K500" t="s">
        <v>1018</v>
      </c>
      <c r="L500" t="s">
        <v>19</v>
      </c>
      <c r="M500" s="4">
        <v>62.16</v>
      </c>
      <c r="N500" t="s">
        <v>24</v>
      </c>
      <c r="O500">
        <f>Patient_data[[#This Row],[Appointment_Date]]-Patient_data[[#This Row],[Booking_Date]]</f>
        <v>34</v>
      </c>
    </row>
    <row r="501" spans="1:15" x14ac:dyDescent="0.25">
      <c r="A501">
        <v>1082</v>
      </c>
      <c r="B501">
        <v>51</v>
      </c>
      <c r="C501" t="s">
        <v>756</v>
      </c>
      <c r="D501" t="s">
        <v>1019</v>
      </c>
      <c r="E501" t="s">
        <v>17</v>
      </c>
      <c r="F501" s="3">
        <v>45902</v>
      </c>
      <c r="G501" s="1">
        <f>YEAR(Patient_data[[#This Row],[Appointment_Date]])</f>
        <v>2025</v>
      </c>
      <c r="H501" s="2" t="str">
        <f>TEXT(Patient_data[[#This Row],[Appointment_Date]],"mmmm")</f>
        <v>September</v>
      </c>
      <c r="I501" s="3" t="str">
        <f>TEXT(Patient_data[[#This Row],[Appointment_Date]],"mmm-yyyy")</f>
        <v>Sep-2025</v>
      </c>
      <c r="J501" s="3">
        <v>45884</v>
      </c>
      <c r="K501" t="s">
        <v>1020</v>
      </c>
      <c r="L501" t="s">
        <v>43</v>
      </c>
      <c r="M501" s="4">
        <v>29.44</v>
      </c>
      <c r="N501" t="s">
        <v>20</v>
      </c>
      <c r="O501">
        <f>Patient_data[[#This Row],[Appointment_Date]]-Patient_data[[#This Row],[Booking_Date]]</f>
        <v>18</v>
      </c>
    </row>
    <row r="502" spans="1:15" x14ac:dyDescent="0.25">
      <c r="A502">
        <v>1097</v>
      </c>
      <c r="B502">
        <v>51</v>
      </c>
      <c r="C502" t="s">
        <v>756</v>
      </c>
      <c r="D502" t="s">
        <v>1021</v>
      </c>
      <c r="E502" t="s">
        <v>28</v>
      </c>
      <c r="F502" s="3">
        <v>45911</v>
      </c>
      <c r="G502" s="1">
        <f>YEAR(Patient_data[[#This Row],[Appointment_Date]])</f>
        <v>2025</v>
      </c>
      <c r="H502" s="2" t="str">
        <f>TEXT(Patient_data[[#This Row],[Appointment_Date]],"mmmm")</f>
        <v>September</v>
      </c>
      <c r="I502" s="3" t="str">
        <f>TEXT(Patient_data[[#This Row],[Appointment_Date]],"mmm-yyyy")</f>
        <v>Sep-2025</v>
      </c>
      <c r="J502" s="3">
        <v>45456</v>
      </c>
      <c r="K502" t="s">
        <v>1022</v>
      </c>
      <c r="L502" t="s">
        <v>23</v>
      </c>
      <c r="M502" s="4">
        <v>381.59</v>
      </c>
      <c r="N502" t="s">
        <v>20</v>
      </c>
      <c r="O502">
        <f>Patient_data[[#This Row],[Appointment_Date]]-Patient_data[[#This Row],[Booking_Date]]</f>
        <v>455</v>
      </c>
    </row>
    <row r="503" spans="1:15" x14ac:dyDescent="0.25">
      <c r="A503">
        <v>1075</v>
      </c>
      <c r="B503">
        <v>51</v>
      </c>
      <c r="C503" t="s">
        <v>756</v>
      </c>
      <c r="D503" t="s">
        <v>1023</v>
      </c>
      <c r="E503" t="s">
        <v>17</v>
      </c>
      <c r="F503" s="3">
        <v>46002</v>
      </c>
      <c r="G503" s="1">
        <f>YEAR(Patient_data[[#This Row],[Appointment_Date]])</f>
        <v>2025</v>
      </c>
      <c r="H503" s="2" t="str">
        <f>TEXT(Patient_data[[#This Row],[Appointment_Date]],"mmmm")</f>
        <v>December</v>
      </c>
      <c r="I503" s="3" t="str">
        <f>TEXT(Patient_data[[#This Row],[Appointment_Date]],"mmm-yyyy")</f>
        <v>Dec-2025</v>
      </c>
      <c r="J503" s="3">
        <v>45949</v>
      </c>
      <c r="K503" t="s">
        <v>1024</v>
      </c>
      <c r="L503" t="s">
        <v>19</v>
      </c>
      <c r="M503" s="4">
        <v>456.12</v>
      </c>
      <c r="N503" t="s">
        <v>20</v>
      </c>
      <c r="O503">
        <f>Patient_data[[#This Row],[Appointment_Date]]-Patient_data[[#This Row],[Booking_Date]]</f>
        <v>53</v>
      </c>
    </row>
    <row r="504" spans="1:15" x14ac:dyDescent="0.25">
      <c r="A504">
        <v>1001</v>
      </c>
      <c r="B504">
        <v>50</v>
      </c>
      <c r="C504" t="s">
        <v>756</v>
      </c>
      <c r="D504" t="s">
        <v>1025</v>
      </c>
      <c r="E504" t="s">
        <v>17</v>
      </c>
      <c r="F504" s="3">
        <v>45886</v>
      </c>
      <c r="G504" s="1">
        <f>YEAR(Patient_data[[#This Row],[Appointment_Date]])</f>
        <v>2025</v>
      </c>
      <c r="H504" s="2" t="str">
        <f>TEXT(Patient_data[[#This Row],[Appointment_Date]],"mmmm")</f>
        <v>August</v>
      </c>
      <c r="I504" s="3" t="str">
        <f>TEXT(Patient_data[[#This Row],[Appointment_Date]],"mmm-yyyy")</f>
        <v>Aug-2025</v>
      </c>
      <c r="J504" s="3">
        <v>45558</v>
      </c>
      <c r="K504" t="s">
        <v>1026</v>
      </c>
      <c r="L504" t="s">
        <v>43</v>
      </c>
      <c r="M504" s="4">
        <v>68.14</v>
      </c>
      <c r="N504" t="s">
        <v>24</v>
      </c>
      <c r="O504">
        <f>Patient_data[[#This Row],[Appointment_Date]]-Patient_data[[#This Row],[Booking_Date]]</f>
        <v>328</v>
      </c>
    </row>
    <row r="505" spans="1:15" x14ac:dyDescent="0.25">
      <c r="A505">
        <v>1097</v>
      </c>
      <c r="B505">
        <v>50</v>
      </c>
      <c r="C505" t="s">
        <v>756</v>
      </c>
      <c r="D505" t="s">
        <v>1027</v>
      </c>
      <c r="E505" t="s">
        <v>17</v>
      </c>
      <c r="F505" s="3">
        <v>45984</v>
      </c>
      <c r="G505" s="1">
        <f>YEAR(Patient_data[[#This Row],[Appointment_Date]])</f>
        <v>2025</v>
      </c>
      <c r="H505" s="2" t="str">
        <f>TEXT(Patient_data[[#This Row],[Appointment_Date]],"mmmm")</f>
        <v>November</v>
      </c>
      <c r="I505" s="3" t="str">
        <f>TEXT(Patient_data[[#This Row],[Appointment_Date]],"mmm-yyyy")</f>
        <v>Nov-2025</v>
      </c>
      <c r="J505" s="3">
        <v>45924</v>
      </c>
      <c r="K505" t="s">
        <v>1028</v>
      </c>
      <c r="L505" t="s">
        <v>43</v>
      </c>
      <c r="M505" s="4">
        <v>94.58</v>
      </c>
      <c r="N505" t="s">
        <v>24</v>
      </c>
      <c r="O505">
        <f>Patient_data[[#This Row],[Appointment_Date]]-Patient_data[[#This Row],[Booking_Date]]</f>
        <v>60</v>
      </c>
    </row>
    <row r="506" spans="1:15" x14ac:dyDescent="0.25">
      <c r="A506">
        <v>1046</v>
      </c>
      <c r="B506">
        <v>50</v>
      </c>
      <c r="C506" t="s">
        <v>756</v>
      </c>
      <c r="D506" t="s">
        <v>1029</v>
      </c>
      <c r="E506" t="s">
        <v>28</v>
      </c>
      <c r="F506" s="3">
        <v>45994</v>
      </c>
      <c r="G506" s="1">
        <f>YEAR(Patient_data[[#This Row],[Appointment_Date]])</f>
        <v>2025</v>
      </c>
      <c r="H506" s="2" t="str">
        <f>TEXT(Patient_data[[#This Row],[Appointment_Date]],"mmmm")</f>
        <v>December</v>
      </c>
      <c r="I506" s="3" t="str">
        <f>TEXT(Patient_data[[#This Row],[Appointment_Date]],"mmm-yyyy")</f>
        <v>Dec-2025</v>
      </c>
      <c r="J506" s="3">
        <v>45506</v>
      </c>
      <c r="K506" t="s">
        <v>1030</v>
      </c>
      <c r="L506" t="s">
        <v>43</v>
      </c>
      <c r="M506" s="4">
        <v>8.14</v>
      </c>
      <c r="N506" t="s">
        <v>24</v>
      </c>
      <c r="O506">
        <f>Patient_data[[#This Row],[Appointment_Date]]-Patient_data[[#This Row],[Booking_Date]]</f>
        <v>488</v>
      </c>
    </row>
    <row r="507" spans="1:15" x14ac:dyDescent="0.25">
      <c r="A507">
        <v>1015</v>
      </c>
      <c r="B507">
        <v>50</v>
      </c>
      <c r="C507" t="s">
        <v>756</v>
      </c>
      <c r="D507" t="s">
        <v>1031</v>
      </c>
      <c r="E507" t="s">
        <v>17</v>
      </c>
      <c r="F507" s="3">
        <v>45894</v>
      </c>
      <c r="G507" s="1">
        <f>YEAR(Patient_data[[#This Row],[Appointment_Date]])</f>
        <v>2025</v>
      </c>
      <c r="H507" s="2" t="str">
        <f>TEXT(Patient_data[[#This Row],[Appointment_Date]],"mmmm")</f>
        <v>August</v>
      </c>
      <c r="I507" s="3" t="str">
        <f>TEXT(Patient_data[[#This Row],[Appointment_Date]],"mmm-yyyy")</f>
        <v>Aug-2025</v>
      </c>
      <c r="J507" s="3">
        <v>45461</v>
      </c>
      <c r="K507" t="s">
        <v>1032</v>
      </c>
      <c r="L507" t="s">
        <v>19</v>
      </c>
      <c r="M507" s="4">
        <v>3.38</v>
      </c>
      <c r="N507" t="s">
        <v>24</v>
      </c>
      <c r="O507">
        <f>Patient_data[[#This Row],[Appointment_Date]]-Patient_data[[#This Row],[Booking_Date]]</f>
        <v>433</v>
      </c>
    </row>
    <row r="508" spans="1:15" x14ac:dyDescent="0.25">
      <c r="A508">
        <v>1073</v>
      </c>
      <c r="B508">
        <v>50</v>
      </c>
      <c r="C508" t="s">
        <v>756</v>
      </c>
      <c r="D508" t="s">
        <v>1033</v>
      </c>
      <c r="E508" t="s">
        <v>17</v>
      </c>
      <c r="F508" s="3">
        <v>45911</v>
      </c>
      <c r="G508" s="1">
        <f>YEAR(Patient_data[[#This Row],[Appointment_Date]])</f>
        <v>2025</v>
      </c>
      <c r="H508" s="2" t="str">
        <f>TEXT(Patient_data[[#This Row],[Appointment_Date]],"mmmm")</f>
        <v>September</v>
      </c>
      <c r="I508" s="3" t="str">
        <f>TEXT(Patient_data[[#This Row],[Appointment_Date]],"mmm-yyyy")</f>
        <v>Sep-2025</v>
      </c>
      <c r="J508" s="3">
        <v>45730</v>
      </c>
      <c r="K508" t="s">
        <v>1034</v>
      </c>
      <c r="L508" t="s">
        <v>19</v>
      </c>
      <c r="M508" s="4">
        <v>43.79</v>
      </c>
      <c r="N508" t="s">
        <v>24</v>
      </c>
      <c r="O508">
        <f>Patient_data[[#This Row],[Appointment_Date]]-Patient_data[[#This Row],[Booking_Date]]</f>
        <v>181</v>
      </c>
    </row>
    <row r="509" spans="1:15" x14ac:dyDescent="0.25">
      <c r="A509">
        <v>1031</v>
      </c>
      <c r="B509">
        <v>50</v>
      </c>
      <c r="C509" t="s">
        <v>756</v>
      </c>
      <c r="D509" t="s">
        <v>1035</v>
      </c>
      <c r="E509" t="s">
        <v>28</v>
      </c>
      <c r="F509" s="3">
        <v>45980</v>
      </c>
      <c r="G509" s="1">
        <f>YEAR(Patient_data[[#This Row],[Appointment_Date]])</f>
        <v>2025</v>
      </c>
      <c r="H509" s="2" t="str">
        <f>TEXT(Patient_data[[#This Row],[Appointment_Date]],"mmmm")</f>
        <v>November</v>
      </c>
      <c r="I509" s="3" t="str">
        <f>TEXT(Patient_data[[#This Row],[Appointment_Date]],"mmm-yyyy")</f>
        <v>Nov-2025</v>
      </c>
      <c r="J509" s="3">
        <v>45672</v>
      </c>
      <c r="K509" t="s">
        <v>1036</v>
      </c>
      <c r="L509" t="s">
        <v>43</v>
      </c>
      <c r="M509" s="4">
        <v>31.21</v>
      </c>
      <c r="N509" t="s">
        <v>24</v>
      </c>
      <c r="O509">
        <f>Patient_data[[#This Row],[Appointment_Date]]-Patient_data[[#This Row],[Booking_Date]]</f>
        <v>308</v>
      </c>
    </row>
    <row r="510" spans="1:15" x14ac:dyDescent="0.25">
      <c r="A510">
        <v>1020</v>
      </c>
      <c r="B510">
        <v>50</v>
      </c>
      <c r="C510" t="s">
        <v>756</v>
      </c>
      <c r="D510" t="s">
        <v>1037</v>
      </c>
      <c r="E510" t="s">
        <v>17</v>
      </c>
      <c r="F510" s="3">
        <v>45887</v>
      </c>
      <c r="G510" s="1">
        <f>YEAR(Patient_data[[#This Row],[Appointment_Date]])</f>
        <v>2025</v>
      </c>
      <c r="H510" s="2" t="str">
        <f>TEXT(Patient_data[[#This Row],[Appointment_Date]],"mmmm")</f>
        <v>August</v>
      </c>
      <c r="I510" s="3" t="str">
        <f>TEXT(Patient_data[[#This Row],[Appointment_Date]],"mmm-yyyy")</f>
        <v>Aug-2025</v>
      </c>
      <c r="J510" s="3">
        <v>45794</v>
      </c>
      <c r="K510" t="s">
        <v>1038</v>
      </c>
      <c r="L510" t="s">
        <v>19</v>
      </c>
      <c r="M510" s="4">
        <v>7.97</v>
      </c>
      <c r="N510" t="s">
        <v>24</v>
      </c>
      <c r="O510">
        <f>Patient_data[[#This Row],[Appointment_Date]]-Patient_data[[#This Row],[Booking_Date]]</f>
        <v>93</v>
      </c>
    </row>
    <row r="511" spans="1:15" x14ac:dyDescent="0.25">
      <c r="A511">
        <v>1011</v>
      </c>
      <c r="B511">
        <v>50</v>
      </c>
      <c r="C511" t="s">
        <v>756</v>
      </c>
      <c r="D511" t="s">
        <v>1039</v>
      </c>
      <c r="E511" t="s">
        <v>28</v>
      </c>
      <c r="F511" s="3">
        <v>45975</v>
      </c>
      <c r="G511" s="1">
        <f>YEAR(Patient_data[[#This Row],[Appointment_Date]])</f>
        <v>2025</v>
      </c>
      <c r="H511" s="2" t="str">
        <f>TEXT(Patient_data[[#This Row],[Appointment_Date]],"mmmm")</f>
        <v>November</v>
      </c>
      <c r="I511" s="3" t="str">
        <f>TEXT(Patient_data[[#This Row],[Appointment_Date]],"mmm-yyyy")</f>
        <v>Nov-2025</v>
      </c>
      <c r="J511" s="3">
        <v>45914</v>
      </c>
      <c r="K511" t="s">
        <v>1040</v>
      </c>
      <c r="L511" t="s">
        <v>30</v>
      </c>
      <c r="M511" s="4">
        <v>101.37</v>
      </c>
      <c r="N511" t="s">
        <v>20</v>
      </c>
      <c r="O511">
        <f>Patient_data[[#This Row],[Appointment_Date]]-Patient_data[[#This Row],[Booking_Date]]</f>
        <v>61</v>
      </c>
    </row>
    <row r="512" spans="1:15" x14ac:dyDescent="0.25">
      <c r="A512">
        <v>1054</v>
      </c>
      <c r="B512">
        <v>50</v>
      </c>
      <c r="C512" t="s">
        <v>756</v>
      </c>
      <c r="D512" t="s">
        <v>1041</v>
      </c>
      <c r="E512" t="s">
        <v>28</v>
      </c>
      <c r="F512" s="3">
        <v>45813</v>
      </c>
      <c r="G512" s="1">
        <f>YEAR(Patient_data[[#This Row],[Appointment_Date]])</f>
        <v>2025</v>
      </c>
      <c r="H512" s="2" t="str">
        <f>TEXT(Patient_data[[#This Row],[Appointment_Date]],"mmmm")</f>
        <v>June</v>
      </c>
      <c r="I512" s="3" t="str">
        <f>TEXT(Patient_data[[#This Row],[Appointment_Date]],"mmm-yyyy")</f>
        <v>Jun-2025</v>
      </c>
      <c r="J512" s="3">
        <v>45645</v>
      </c>
      <c r="K512" t="s">
        <v>1042</v>
      </c>
      <c r="L512" t="s">
        <v>23</v>
      </c>
      <c r="M512" s="4">
        <v>496.31</v>
      </c>
      <c r="N512" t="s">
        <v>20</v>
      </c>
      <c r="O512">
        <f>Patient_data[[#This Row],[Appointment_Date]]-Patient_data[[#This Row],[Booking_Date]]</f>
        <v>168</v>
      </c>
    </row>
    <row r="513" spans="1:15" x14ac:dyDescent="0.25">
      <c r="A513">
        <v>1017</v>
      </c>
      <c r="B513">
        <v>50</v>
      </c>
      <c r="C513" t="s">
        <v>756</v>
      </c>
      <c r="D513" t="s">
        <v>1043</v>
      </c>
      <c r="E513" t="s">
        <v>17</v>
      </c>
      <c r="F513" s="3">
        <v>45821</v>
      </c>
      <c r="G513" s="1">
        <f>YEAR(Patient_data[[#This Row],[Appointment_Date]])</f>
        <v>2025</v>
      </c>
      <c r="H513" s="2" t="str">
        <f>TEXT(Patient_data[[#This Row],[Appointment_Date]],"mmmm")</f>
        <v>June</v>
      </c>
      <c r="I513" s="3" t="str">
        <f>TEXT(Patient_data[[#This Row],[Appointment_Date]],"mmm-yyyy")</f>
        <v>Jun-2025</v>
      </c>
      <c r="J513" s="3">
        <v>45672</v>
      </c>
      <c r="K513" t="s">
        <v>1044</v>
      </c>
      <c r="L513" t="s">
        <v>30</v>
      </c>
      <c r="M513" s="4">
        <v>70.13</v>
      </c>
      <c r="N513" t="s">
        <v>24</v>
      </c>
      <c r="O513">
        <f>Patient_data[[#This Row],[Appointment_Date]]-Patient_data[[#This Row],[Booking_Date]]</f>
        <v>149</v>
      </c>
    </row>
    <row r="514" spans="1:15" x14ac:dyDescent="0.25">
      <c r="A514">
        <v>1005</v>
      </c>
      <c r="B514">
        <v>49</v>
      </c>
      <c r="C514" t="s">
        <v>756</v>
      </c>
      <c r="D514" t="s">
        <v>1045</v>
      </c>
      <c r="E514" t="s">
        <v>28</v>
      </c>
      <c r="F514" s="3">
        <v>45820</v>
      </c>
      <c r="G514" s="1">
        <f>YEAR(Patient_data[[#This Row],[Appointment_Date]])</f>
        <v>2025</v>
      </c>
      <c r="H514" s="2" t="str">
        <f>TEXT(Patient_data[[#This Row],[Appointment_Date]],"mmmm")</f>
        <v>June</v>
      </c>
      <c r="I514" s="3" t="str">
        <f>TEXT(Patient_data[[#This Row],[Appointment_Date]],"mmm-yyyy")</f>
        <v>Jun-2025</v>
      </c>
      <c r="J514" s="3">
        <v>45515</v>
      </c>
      <c r="K514" t="s">
        <v>1046</v>
      </c>
      <c r="L514" t="s">
        <v>30</v>
      </c>
      <c r="M514" s="4">
        <v>135.43</v>
      </c>
      <c r="N514" t="s">
        <v>20</v>
      </c>
      <c r="O514">
        <f>Patient_data[[#This Row],[Appointment_Date]]-Patient_data[[#This Row],[Booking_Date]]</f>
        <v>305</v>
      </c>
    </row>
    <row r="515" spans="1:15" x14ac:dyDescent="0.25">
      <c r="A515">
        <v>1053</v>
      </c>
      <c r="B515">
        <v>49</v>
      </c>
      <c r="C515" t="s">
        <v>756</v>
      </c>
      <c r="D515" t="s">
        <v>1047</v>
      </c>
      <c r="E515" t="s">
        <v>17</v>
      </c>
      <c r="F515" s="3">
        <v>45875</v>
      </c>
      <c r="G515" s="1">
        <f>YEAR(Patient_data[[#This Row],[Appointment_Date]])</f>
        <v>2025</v>
      </c>
      <c r="H515" s="2" t="str">
        <f>TEXT(Patient_data[[#This Row],[Appointment_Date]],"mmmm")</f>
        <v>August</v>
      </c>
      <c r="I515" s="3" t="str">
        <f>TEXT(Patient_data[[#This Row],[Appointment_Date]],"mmm-yyyy")</f>
        <v>Aug-2025</v>
      </c>
      <c r="J515" s="3">
        <v>45739</v>
      </c>
      <c r="K515" t="s">
        <v>1048</v>
      </c>
      <c r="L515" t="s">
        <v>19</v>
      </c>
      <c r="M515" s="4">
        <v>393.4</v>
      </c>
      <c r="N515" t="s">
        <v>24</v>
      </c>
      <c r="O515">
        <f>Patient_data[[#This Row],[Appointment_Date]]-Patient_data[[#This Row],[Booking_Date]]</f>
        <v>136</v>
      </c>
    </row>
    <row r="516" spans="1:15" x14ac:dyDescent="0.25">
      <c r="A516">
        <v>1031</v>
      </c>
      <c r="B516">
        <v>49</v>
      </c>
      <c r="C516" t="s">
        <v>756</v>
      </c>
      <c r="D516" t="s">
        <v>1049</v>
      </c>
      <c r="E516" t="s">
        <v>28</v>
      </c>
      <c r="F516" s="3">
        <v>46024</v>
      </c>
      <c r="G516" s="1">
        <f>YEAR(Patient_data[[#This Row],[Appointment_Date]])</f>
        <v>2026</v>
      </c>
      <c r="H516" s="2" t="str">
        <f>TEXT(Patient_data[[#This Row],[Appointment_Date]],"mmmm")</f>
        <v>January</v>
      </c>
      <c r="I516" s="3" t="str">
        <f>TEXT(Patient_data[[#This Row],[Appointment_Date]],"mmm-yyyy")</f>
        <v>Jan-2026</v>
      </c>
      <c r="J516" s="3">
        <v>45990</v>
      </c>
      <c r="K516" t="s">
        <v>1050</v>
      </c>
      <c r="L516" t="s">
        <v>19</v>
      </c>
      <c r="M516" s="4">
        <v>61.19</v>
      </c>
      <c r="N516" t="s">
        <v>20</v>
      </c>
      <c r="O516">
        <f>Patient_data[[#This Row],[Appointment_Date]]-Patient_data[[#This Row],[Booking_Date]]</f>
        <v>34</v>
      </c>
    </row>
    <row r="517" spans="1:15" x14ac:dyDescent="0.25">
      <c r="A517">
        <v>1029</v>
      </c>
      <c r="B517">
        <v>49</v>
      </c>
      <c r="C517" t="s">
        <v>756</v>
      </c>
      <c r="D517" t="s">
        <v>1051</v>
      </c>
      <c r="E517" t="s">
        <v>28</v>
      </c>
      <c r="F517" s="3">
        <v>45792</v>
      </c>
      <c r="G517" s="1">
        <f>YEAR(Patient_data[[#This Row],[Appointment_Date]])</f>
        <v>2025</v>
      </c>
      <c r="H517" s="2" t="str">
        <f>TEXT(Patient_data[[#This Row],[Appointment_Date]],"mmmm")</f>
        <v>May</v>
      </c>
      <c r="I517" s="3" t="str">
        <f>TEXT(Patient_data[[#This Row],[Appointment_Date]],"mmm-yyyy")</f>
        <v>May-2025</v>
      </c>
      <c r="J517" s="3">
        <v>45756</v>
      </c>
      <c r="K517" t="s">
        <v>1052</v>
      </c>
      <c r="L517" t="s">
        <v>19</v>
      </c>
      <c r="M517" s="4">
        <v>87.03</v>
      </c>
      <c r="N517" t="s">
        <v>24</v>
      </c>
      <c r="O517">
        <f>Patient_data[[#This Row],[Appointment_Date]]-Patient_data[[#This Row],[Booking_Date]]</f>
        <v>36</v>
      </c>
    </row>
    <row r="518" spans="1:15" x14ac:dyDescent="0.25">
      <c r="A518">
        <v>1088</v>
      </c>
      <c r="B518">
        <v>49</v>
      </c>
      <c r="C518" t="s">
        <v>756</v>
      </c>
      <c r="D518" t="s">
        <v>1053</v>
      </c>
      <c r="E518" t="s">
        <v>28</v>
      </c>
      <c r="F518" s="3">
        <v>45915</v>
      </c>
      <c r="G518" s="1">
        <f>YEAR(Patient_data[[#This Row],[Appointment_Date]])</f>
        <v>2025</v>
      </c>
      <c r="H518" s="2" t="str">
        <f>TEXT(Patient_data[[#This Row],[Appointment_Date]],"mmmm")</f>
        <v>September</v>
      </c>
      <c r="I518" s="3" t="str">
        <f>TEXT(Patient_data[[#This Row],[Appointment_Date]],"mmm-yyyy")</f>
        <v>Sep-2025</v>
      </c>
      <c r="J518" s="3">
        <v>45687</v>
      </c>
      <c r="K518" t="s">
        <v>1054</v>
      </c>
      <c r="L518" t="s">
        <v>23</v>
      </c>
      <c r="M518" s="4">
        <v>41.48</v>
      </c>
      <c r="N518" t="s">
        <v>24</v>
      </c>
      <c r="O518">
        <f>Patient_data[[#This Row],[Appointment_Date]]-Patient_data[[#This Row],[Booking_Date]]</f>
        <v>228</v>
      </c>
    </row>
    <row r="519" spans="1:15" x14ac:dyDescent="0.25">
      <c r="A519">
        <v>1071</v>
      </c>
      <c r="B519">
        <v>49</v>
      </c>
      <c r="C519" t="s">
        <v>756</v>
      </c>
      <c r="D519" t="s">
        <v>1055</v>
      </c>
      <c r="E519" t="s">
        <v>17</v>
      </c>
      <c r="F519" s="3">
        <v>45801</v>
      </c>
      <c r="G519" s="1">
        <f>YEAR(Patient_data[[#This Row],[Appointment_Date]])</f>
        <v>2025</v>
      </c>
      <c r="H519" s="2" t="str">
        <f>TEXT(Patient_data[[#This Row],[Appointment_Date]],"mmmm")</f>
        <v>May</v>
      </c>
      <c r="I519" s="3" t="str">
        <f>TEXT(Patient_data[[#This Row],[Appointment_Date]],"mmm-yyyy")</f>
        <v>May-2025</v>
      </c>
      <c r="J519" s="3">
        <v>45636</v>
      </c>
      <c r="K519" t="s">
        <v>1056</v>
      </c>
      <c r="L519" t="s">
        <v>43</v>
      </c>
      <c r="M519" s="4">
        <v>50.41</v>
      </c>
      <c r="N519" t="s">
        <v>20</v>
      </c>
      <c r="O519">
        <f>Patient_data[[#This Row],[Appointment_Date]]-Patient_data[[#This Row],[Booking_Date]]</f>
        <v>165</v>
      </c>
    </row>
    <row r="520" spans="1:15" x14ac:dyDescent="0.25">
      <c r="A520">
        <v>1009</v>
      </c>
      <c r="B520">
        <v>49</v>
      </c>
      <c r="C520" t="s">
        <v>756</v>
      </c>
      <c r="D520" t="s">
        <v>1057</v>
      </c>
      <c r="E520" t="s">
        <v>17</v>
      </c>
      <c r="F520" s="3">
        <v>46070</v>
      </c>
      <c r="G520" s="1">
        <f>YEAR(Patient_data[[#This Row],[Appointment_Date]])</f>
        <v>2026</v>
      </c>
      <c r="H520" s="2" t="str">
        <f>TEXT(Patient_data[[#This Row],[Appointment_Date]],"mmmm")</f>
        <v>February</v>
      </c>
      <c r="I520" s="3" t="str">
        <f>TEXT(Patient_data[[#This Row],[Appointment_Date]],"mmm-yyyy")</f>
        <v>Feb-2026</v>
      </c>
      <c r="J520" s="3">
        <v>46038</v>
      </c>
      <c r="K520" t="s">
        <v>1058</v>
      </c>
      <c r="L520" t="s">
        <v>30</v>
      </c>
      <c r="M520" s="4">
        <v>77.930000000000007</v>
      </c>
      <c r="N520" t="s">
        <v>20</v>
      </c>
      <c r="O520">
        <f>Patient_data[[#This Row],[Appointment_Date]]-Patient_data[[#This Row],[Booking_Date]]</f>
        <v>32</v>
      </c>
    </row>
    <row r="521" spans="1:15" x14ac:dyDescent="0.25">
      <c r="A521">
        <v>1072</v>
      </c>
      <c r="B521">
        <v>49</v>
      </c>
      <c r="C521" t="s">
        <v>756</v>
      </c>
      <c r="D521" t="s">
        <v>1059</v>
      </c>
      <c r="E521" t="s">
        <v>28</v>
      </c>
      <c r="F521" s="3">
        <v>45742</v>
      </c>
      <c r="G521" s="1">
        <f>YEAR(Patient_data[[#This Row],[Appointment_Date]])</f>
        <v>2025</v>
      </c>
      <c r="H521" s="2" t="str">
        <f>TEXT(Patient_data[[#This Row],[Appointment_Date]],"mmmm")</f>
        <v>March</v>
      </c>
      <c r="I521" s="3" t="str">
        <f>TEXT(Patient_data[[#This Row],[Appointment_Date]],"mmm-yyyy")</f>
        <v>Mar-2025</v>
      </c>
      <c r="J521" s="3">
        <v>45659</v>
      </c>
      <c r="K521" t="s">
        <v>1060</v>
      </c>
      <c r="L521" t="s">
        <v>30</v>
      </c>
      <c r="M521" s="4">
        <v>92.08</v>
      </c>
      <c r="N521" t="s">
        <v>20</v>
      </c>
      <c r="O521">
        <f>Patient_data[[#This Row],[Appointment_Date]]-Patient_data[[#This Row],[Booking_Date]]</f>
        <v>83</v>
      </c>
    </row>
    <row r="522" spans="1:15" x14ac:dyDescent="0.25">
      <c r="A522">
        <v>1072</v>
      </c>
      <c r="B522">
        <v>49</v>
      </c>
      <c r="C522" t="s">
        <v>756</v>
      </c>
      <c r="D522" t="s">
        <v>1061</v>
      </c>
      <c r="E522" t="s">
        <v>17</v>
      </c>
      <c r="F522" s="3">
        <v>45760</v>
      </c>
      <c r="G522" s="1">
        <f>YEAR(Patient_data[[#This Row],[Appointment_Date]])</f>
        <v>2025</v>
      </c>
      <c r="H522" s="2" t="str">
        <f>TEXT(Patient_data[[#This Row],[Appointment_Date]],"mmmm")</f>
        <v>April</v>
      </c>
      <c r="I522" s="3" t="str">
        <f>TEXT(Patient_data[[#This Row],[Appointment_Date]],"mmm-yyyy")</f>
        <v>Apr-2025</v>
      </c>
      <c r="J522" s="3">
        <v>45570</v>
      </c>
      <c r="K522" t="s">
        <v>1062</v>
      </c>
      <c r="L522" t="s">
        <v>43</v>
      </c>
      <c r="M522" s="4">
        <v>484.93</v>
      </c>
      <c r="N522" t="s">
        <v>20</v>
      </c>
      <c r="O522">
        <f>Patient_data[[#This Row],[Appointment_Date]]-Patient_data[[#This Row],[Booking_Date]]</f>
        <v>190</v>
      </c>
    </row>
    <row r="523" spans="1:15" x14ac:dyDescent="0.25">
      <c r="A523">
        <v>1040</v>
      </c>
      <c r="B523">
        <v>49</v>
      </c>
      <c r="C523" t="s">
        <v>756</v>
      </c>
      <c r="D523" t="s">
        <v>665</v>
      </c>
      <c r="E523" t="s">
        <v>28</v>
      </c>
      <c r="F523" s="3">
        <v>45829</v>
      </c>
      <c r="G523" s="1">
        <f>YEAR(Patient_data[[#This Row],[Appointment_Date]])</f>
        <v>2025</v>
      </c>
      <c r="H523" s="2" t="str">
        <f>TEXT(Patient_data[[#This Row],[Appointment_Date]],"mmmm")</f>
        <v>June</v>
      </c>
      <c r="I523" s="3" t="str">
        <f>TEXT(Patient_data[[#This Row],[Appointment_Date]],"mmm-yyyy")</f>
        <v>Jun-2025</v>
      </c>
      <c r="J523" s="3">
        <v>45573</v>
      </c>
      <c r="K523" t="s">
        <v>1063</v>
      </c>
      <c r="L523" t="s">
        <v>23</v>
      </c>
      <c r="M523" s="4">
        <v>10.44</v>
      </c>
      <c r="N523" t="s">
        <v>20</v>
      </c>
      <c r="O523">
        <f>Patient_data[[#This Row],[Appointment_Date]]-Patient_data[[#This Row],[Booking_Date]]</f>
        <v>256</v>
      </c>
    </row>
    <row r="524" spans="1:15" x14ac:dyDescent="0.25">
      <c r="A524">
        <v>1080</v>
      </c>
      <c r="B524">
        <v>49</v>
      </c>
      <c r="C524" t="s">
        <v>756</v>
      </c>
      <c r="D524" t="s">
        <v>1064</v>
      </c>
      <c r="E524" t="s">
        <v>17</v>
      </c>
      <c r="F524" s="3">
        <v>45960</v>
      </c>
      <c r="G524" s="1">
        <f>YEAR(Patient_data[[#This Row],[Appointment_Date]])</f>
        <v>2025</v>
      </c>
      <c r="H524" s="2" t="str">
        <f>TEXT(Patient_data[[#This Row],[Appointment_Date]],"mmmm")</f>
        <v>October</v>
      </c>
      <c r="I524" s="3" t="str">
        <f>TEXT(Patient_data[[#This Row],[Appointment_Date]],"mmm-yyyy")</f>
        <v>Oct-2025</v>
      </c>
      <c r="J524" s="3">
        <v>45820</v>
      </c>
      <c r="K524" t="s">
        <v>1065</v>
      </c>
      <c r="L524" t="s">
        <v>19</v>
      </c>
      <c r="M524" s="4">
        <v>410.8</v>
      </c>
      <c r="N524" t="s">
        <v>20</v>
      </c>
      <c r="O524">
        <f>Patient_data[[#This Row],[Appointment_Date]]-Patient_data[[#This Row],[Booking_Date]]</f>
        <v>140</v>
      </c>
    </row>
    <row r="525" spans="1:15" x14ac:dyDescent="0.25">
      <c r="A525">
        <v>1070</v>
      </c>
      <c r="B525">
        <v>49</v>
      </c>
      <c r="C525" t="s">
        <v>756</v>
      </c>
      <c r="D525" t="s">
        <v>1066</v>
      </c>
      <c r="E525" t="s">
        <v>17</v>
      </c>
      <c r="F525" s="3">
        <v>45797</v>
      </c>
      <c r="G525" s="1">
        <f>YEAR(Patient_data[[#This Row],[Appointment_Date]])</f>
        <v>2025</v>
      </c>
      <c r="H525" s="2" t="str">
        <f>TEXT(Patient_data[[#This Row],[Appointment_Date]],"mmmm")</f>
        <v>May</v>
      </c>
      <c r="I525" s="3" t="str">
        <f>TEXT(Patient_data[[#This Row],[Appointment_Date]],"mmm-yyyy")</f>
        <v>May-2025</v>
      </c>
      <c r="J525" s="3">
        <v>45547</v>
      </c>
      <c r="K525" t="s">
        <v>1067</v>
      </c>
      <c r="L525" t="s">
        <v>23</v>
      </c>
      <c r="M525" s="4">
        <v>28.7</v>
      </c>
      <c r="N525" t="s">
        <v>24</v>
      </c>
      <c r="O525">
        <f>Patient_data[[#This Row],[Appointment_Date]]-Patient_data[[#This Row],[Booking_Date]]</f>
        <v>250</v>
      </c>
    </row>
    <row r="526" spans="1:15" x14ac:dyDescent="0.25">
      <c r="A526">
        <v>1026</v>
      </c>
      <c r="B526">
        <v>49</v>
      </c>
      <c r="C526" t="s">
        <v>756</v>
      </c>
      <c r="D526" t="s">
        <v>1068</v>
      </c>
      <c r="E526" t="s">
        <v>17</v>
      </c>
      <c r="F526" s="3">
        <v>46067</v>
      </c>
      <c r="G526" s="1">
        <f>YEAR(Patient_data[[#This Row],[Appointment_Date]])</f>
        <v>2026</v>
      </c>
      <c r="H526" s="2" t="str">
        <f>TEXT(Patient_data[[#This Row],[Appointment_Date]],"mmmm")</f>
        <v>February</v>
      </c>
      <c r="I526" s="3" t="str">
        <f>TEXT(Patient_data[[#This Row],[Appointment_Date]],"mmm-yyyy")</f>
        <v>Feb-2026</v>
      </c>
      <c r="J526" s="3">
        <v>45727</v>
      </c>
      <c r="K526" t="s">
        <v>1069</v>
      </c>
      <c r="L526" t="s">
        <v>19</v>
      </c>
      <c r="M526" s="4">
        <v>66.59</v>
      </c>
      <c r="N526" t="s">
        <v>20</v>
      </c>
      <c r="O526">
        <f>Patient_data[[#This Row],[Appointment_Date]]-Patient_data[[#This Row],[Booking_Date]]</f>
        <v>340</v>
      </c>
    </row>
    <row r="527" spans="1:15" x14ac:dyDescent="0.25">
      <c r="A527">
        <v>1006</v>
      </c>
      <c r="B527">
        <v>48</v>
      </c>
      <c r="C527" t="s">
        <v>756</v>
      </c>
      <c r="D527" t="s">
        <v>1070</v>
      </c>
      <c r="E527" t="s">
        <v>17</v>
      </c>
      <c r="F527" s="3">
        <v>45847</v>
      </c>
      <c r="G527" s="1">
        <f>YEAR(Patient_data[[#This Row],[Appointment_Date]])</f>
        <v>2025</v>
      </c>
      <c r="H527" s="2" t="str">
        <f>TEXT(Patient_data[[#This Row],[Appointment_Date]],"mmmm")</f>
        <v>July</v>
      </c>
      <c r="I527" s="3" t="str">
        <f>TEXT(Patient_data[[#This Row],[Appointment_Date]],"mmm-yyyy")</f>
        <v>Jul-2025</v>
      </c>
      <c r="J527" s="3">
        <v>45750</v>
      </c>
      <c r="K527" t="s">
        <v>1071</v>
      </c>
      <c r="L527" t="s">
        <v>19</v>
      </c>
      <c r="M527" s="4">
        <v>74.81</v>
      </c>
      <c r="N527" t="s">
        <v>24</v>
      </c>
      <c r="O527">
        <f>Patient_data[[#This Row],[Appointment_Date]]-Patient_data[[#This Row],[Booking_Date]]</f>
        <v>97</v>
      </c>
    </row>
    <row r="528" spans="1:15" x14ac:dyDescent="0.25">
      <c r="A528">
        <v>1097</v>
      </c>
      <c r="B528">
        <v>48</v>
      </c>
      <c r="C528" t="s">
        <v>756</v>
      </c>
      <c r="D528" t="s">
        <v>1072</v>
      </c>
      <c r="E528" t="s">
        <v>17</v>
      </c>
      <c r="F528" s="3">
        <v>45914</v>
      </c>
      <c r="G528" s="1">
        <f>YEAR(Patient_data[[#This Row],[Appointment_Date]])</f>
        <v>2025</v>
      </c>
      <c r="H528" s="2" t="str">
        <f>TEXT(Patient_data[[#This Row],[Appointment_Date]],"mmmm")</f>
        <v>September</v>
      </c>
      <c r="I528" s="3" t="str">
        <f>TEXT(Patient_data[[#This Row],[Appointment_Date]],"mmm-yyyy")</f>
        <v>Sep-2025</v>
      </c>
      <c r="J528" s="3">
        <v>45624</v>
      </c>
      <c r="K528" t="s">
        <v>1073</v>
      </c>
      <c r="L528" t="s">
        <v>30</v>
      </c>
      <c r="M528" s="4">
        <v>1.87</v>
      </c>
      <c r="N528" t="s">
        <v>20</v>
      </c>
      <c r="O528">
        <f>Patient_data[[#This Row],[Appointment_Date]]-Patient_data[[#This Row],[Booking_Date]]</f>
        <v>290</v>
      </c>
    </row>
    <row r="529" spans="1:15" x14ac:dyDescent="0.25">
      <c r="A529">
        <v>1089</v>
      </c>
      <c r="B529">
        <v>48</v>
      </c>
      <c r="C529" t="s">
        <v>756</v>
      </c>
      <c r="D529" t="s">
        <v>1074</v>
      </c>
      <c r="E529" t="s">
        <v>28</v>
      </c>
      <c r="F529" s="3">
        <v>45742</v>
      </c>
      <c r="G529" s="1">
        <f>YEAR(Patient_data[[#This Row],[Appointment_Date]])</f>
        <v>2025</v>
      </c>
      <c r="H529" s="2" t="str">
        <f>TEXT(Patient_data[[#This Row],[Appointment_Date]],"mmmm")</f>
        <v>March</v>
      </c>
      <c r="I529" s="3" t="str">
        <f>TEXT(Patient_data[[#This Row],[Appointment_Date]],"mmm-yyyy")</f>
        <v>Mar-2025</v>
      </c>
      <c r="J529" s="3">
        <v>45629</v>
      </c>
      <c r="K529" t="s">
        <v>1075</v>
      </c>
      <c r="L529" t="s">
        <v>30</v>
      </c>
      <c r="M529" s="4">
        <v>193.18</v>
      </c>
      <c r="N529" t="s">
        <v>20</v>
      </c>
      <c r="O529">
        <f>Patient_data[[#This Row],[Appointment_Date]]-Patient_data[[#This Row],[Booking_Date]]</f>
        <v>113</v>
      </c>
    </row>
    <row r="530" spans="1:15" x14ac:dyDescent="0.25">
      <c r="A530">
        <v>1098</v>
      </c>
      <c r="B530">
        <v>48</v>
      </c>
      <c r="C530" t="s">
        <v>756</v>
      </c>
      <c r="D530" t="s">
        <v>1076</v>
      </c>
      <c r="E530" t="s">
        <v>28</v>
      </c>
      <c r="F530" s="3">
        <v>46027</v>
      </c>
      <c r="G530" s="1">
        <f>YEAR(Patient_data[[#This Row],[Appointment_Date]])</f>
        <v>2026</v>
      </c>
      <c r="H530" s="2" t="str">
        <f>TEXT(Patient_data[[#This Row],[Appointment_Date]],"mmmm")</f>
        <v>January</v>
      </c>
      <c r="I530" s="3" t="str">
        <f>TEXT(Patient_data[[#This Row],[Appointment_Date]],"mmm-yyyy")</f>
        <v>Jan-2026</v>
      </c>
      <c r="J530" s="3">
        <v>45807</v>
      </c>
      <c r="K530" t="s">
        <v>1077</v>
      </c>
      <c r="L530" t="s">
        <v>23</v>
      </c>
      <c r="M530" s="4">
        <v>96.43</v>
      </c>
      <c r="N530" t="s">
        <v>24</v>
      </c>
      <c r="O530">
        <f>Patient_data[[#This Row],[Appointment_Date]]-Patient_data[[#This Row],[Booking_Date]]</f>
        <v>220</v>
      </c>
    </row>
    <row r="531" spans="1:15" x14ac:dyDescent="0.25">
      <c r="A531">
        <v>1033</v>
      </c>
      <c r="B531">
        <v>48</v>
      </c>
      <c r="C531" t="s">
        <v>756</v>
      </c>
      <c r="D531" t="s">
        <v>1078</v>
      </c>
      <c r="E531" t="s">
        <v>17</v>
      </c>
      <c r="F531" s="3">
        <v>45838</v>
      </c>
      <c r="G531" s="1">
        <f>YEAR(Patient_data[[#This Row],[Appointment_Date]])</f>
        <v>2025</v>
      </c>
      <c r="H531" s="2" t="str">
        <f>TEXT(Patient_data[[#This Row],[Appointment_Date]],"mmmm")</f>
        <v>June</v>
      </c>
      <c r="I531" s="3" t="str">
        <f>TEXT(Patient_data[[#This Row],[Appointment_Date]],"mmm-yyyy")</f>
        <v>Jun-2025</v>
      </c>
      <c r="J531" s="3">
        <v>45681</v>
      </c>
      <c r="K531" t="s">
        <v>255</v>
      </c>
      <c r="L531" t="s">
        <v>43</v>
      </c>
      <c r="M531" s="4">
        <v>88.58</v>
      </c>
      <c r="N531" t="s">
        <v>20</v>
      </c>
      <c r="O531">
        <f>Patient_data[[#This Row],[Appointment_Date]]-Patient_data[[#This Row],[Booking_Date]]</f>
        <v>157</v>
      </c>
    </row>
    <row r="532" spans="1:15" x14ac:dyDescent="0.25">
      <c r="A532">
        <v>1003</v>
      </c>
      <c r="B532">
        <v>48</v>
      </c>
      <c r="C532" t="s">
        <v>756</v>
      </c>
      <c r="D532" t="s">
        <v>1079</v>
      </c>
      <c r="E532" t="s">
        <v>17</v>
      </c>
      <c r="F532" s="3">
        <v>45863</v>
      </c>
      <c r="G532" s="1">
        <f>YEAR(Patient_data[[#This Row],[Appointment_Date]])</f>
        <v>2025</v>
      </c>
      <c r="H532" s="2" t="str">
        <f>TEXT(Patient_data[[#This Row],[Appointment_Date]],"mmmm")</f>
        <v>July</v>
      </c>
      <c r="I532" s="3" t="str">
        <f>TEXT(Patient_data[[#This Row],[Appointment_Date]],"mmm-yyyy")</f>
        <v>Jul-2025</v>
      </c>
      <c r="J532" s="3">
        <v>45671</v>
      </c>
      <c r="K532" t="s">
        <v>1080</v>
      </c>
      <c r="L532" t="s">
        <v>43</v>
      </c>
      <c r="M532" s="4">
        <v>1.94</v>
      </c>
      <c r="N532" t="s">
        <v>20</v>
      </c>
      <c r="O532">
        <f>Patient_data[[#This Row],[Appointment_Date]]-Patient_data[[#This Row],[Booking_Date]]</f>
        <v>192</v>
      </c>
    </row>
    <row r="533" spans="1:15" x14ac:dyDescent="0.25">
      <c r="A533">
        <v>1063</v>
      </c>
      <c r="B533">
        <v>48</v>
      </c>
      <c r="C533" t="s">
        <v>756</v>
      </c>
      <c r="D533" t="s">
        <v>1081</v>
      </c>
      <c r="E533" t="s">
        <v>17</v>
      </c>
      <c r="F533" s="3">
        <v>45898</v>
      </c>
      <c r="G533" s="1">
        <f>YEAR(Patient_data[[#This Row],[Appointment_Date]])</f>
        <v>2025</v>
      </c>
      <c r="H533" s="2" t="str">
        <f>TEXT(Patient_data[[#This Row],[Appointment_Date]],"mmmm")</f>
        <v>August</v>
      </c>
      <c r="I533" s="3" t="str">
        <f>TEXT(Patient_data[[#This Row],[Appointment_Date]],"mmm-yyyy")</f>
        <v>Aug-2025</v>
      </c>
      <c r="J533" s="3">
        <v>45397</v>
      </c>
      <c r="K533" t="s">
        <v>1082</v>
      </c>
      <c r="L533" t="s">
        <v>19</v>
      </c>
      <c r="M533" s="4">
        <v>9.7200000000000006</v>
      </c>
      <c r="N533" t="s">
        <v>20</v>
      </c>
      <c r="O533">
        <f>Patient_data[[#This Row],[Appointment_Date]]-Patient_data[[#This Row],[Booking_Date]]</f>
        <v>501</v>
      </c>
    </row>
    <row r="534" spans="1:15" x14ac:dyDescent="0.25">
      <c r="A534">
        <v>1069</v>
      </c>
      <c r="B534">
        <v>48</v>
      </c>
      <c r="C534" t="s">
        <v>756</v>
      </c>
      <c r="D534" t="s">
        <v>1083</v>
      </c>
      <c r="E534" t="s">
        <v>28</v>
      </c>
      <c r="F534" s="3">
        <v>45931</v>
      </c>
      <c r="G534" s="1">
        <f>YEAR(Patient_data[[#This Row],[Appointment_Date]])</f>
        <v>2025</v>
      </c>
      <c r="H534" s="2" t="str">
        <f>TEXT(Patient_data[[#This Row],[Appointment_Date]],"mmmm")</f>
        <v>October</v>
      </c>
      <c r="I534" s="3" t="str">
        <f>TEXT(Patient_data[[#This Row],[Appointment_Date]],"mmm-yyyy")</f>
        <v>Oct-2025</v>
      </c>
      <c r="J534" s="3">
        <v>45599</v>
      </c>
      <c r="K534" t="s">
        <v>1084</v>
      </c>
      <c r="L534" t="s">
        <v>30</v>
      </c>
      <c r="M534" s="4">
        <v>7.46</v>
      </c>
      <c r="N534" t="s">
        <v>20</v>
      </c>
      <c r="O534">
        <f>Patient_data[[#This Row],[Appointment_Date]]-Patient_data[[#This Row],[Booking_Date]]</f>
        <v>332</v>
      </c>
    </row>
    <row r="535" spans="1:15" x14ac:dyDescent="0.25">
      <c r="A535">
        <v>1074</v>
      </c>
      <c r="B535">
        <v>48</v>
      </c>
      <c r="C535" t="s">
        <v>756</v>
      </c>
      <c r="D535" t="s">
        <v>1085</v>
      </c>
      <c r="E535" t="s">
        <v>17</v>
      </c>
      <c r="F535" s="3">
        <v>45755</v>
      </c>
      <c r="G535" s="1">
        <f>YEAR(Patient_data[[#This Row],[Appointment_Date]])</f>
        <v>2025</v>
      </c>
      <c r="H535" s="2" t="str">
        <f>TEXT(Patient_data[[#This Row],[Appointment_Date]],"mmmm")</f>
        <v>April</v>
      </c>
      <c r="I535" s="3" t="str">
        <f>TEXT(Patient_data[[#This Row],[Appointment_Date]],"mmm-yyyy")</f>
        <v>Apr-2025</v>
      </c>
      <c r="J535" s="3">
        <v>45691</v>
      </c>
      <c r="K535" t="s">
        <v>1086</v>
      </c>
      <c r="L535" t="s">
        <v>30</v>
      </c>
      <c r="M535" s="4">
        <v>7.48</v>
      </c>
      <c r="N535" t="s">
        <v>20</v>
      </c>
      <c r="O535">
        <f>Patient_data[[#This Row],[Appointment_Date]]-Patient_data[[#This Row],[Booking_Date]]</f>
        <v>64</v>
      </c>
    </row>
    <row r="536" spans="1:15" x14ac:dyDescent="0.25">
      <c r="A536">
        <v>1063</v>
      </c>
      <c r="B536">
        <v>48</v>
      </c>
      <c r="C536" t="s">
        <v>756</v>
      </c>
      <c r="D536" t="s">
        <v>1087</v>
      </c>
      <c r="E536" t="s">
        <v>28</v>
      </c>
      <c r="F536" s="3">
        <v>46045</v>
      </c>
      <c r="G536" s="1">
        <f>YEAR(Patient_data[[#This Row],[Appointment_Date]])</f>
        <v>2026</v>
      </c>
      <c r="H536" s="2" t="str">
        <f>TEXT(Patient_data[[#This Row],[Appointment_Date]],"mmmm")</f>
        <v>January</v>
      </c>
      <c r="I536" s="3" t="str">
        <f>TEXT(Patient_data[[#This Row],[Appointment_Date]],"mmm-yyyy")</f>
        <v>Jan-2026</v>
      </c>
      <c r="J536" s="3">
        <v>45943</v>
      </c>
      <c r="K536" t="s">
        <v>1088</v>
      </c>
      <c r="L536" t="s">
        <v>43</v>
      </c>
      <c r="M536" s="4">
        <v>48.84</v>
      </c>
      <c r="N536" t="s">
        <v>20</v>
      </c>
      <c r="O536">
        <f>Patient_data[[#This Row],[Appointment_Date]]-Patient_data[[#This Row],[Booking_Date]]</f>
        <v>102</v>
      </c>
    </row>
    <row r="537" spans="1:15" x14ac:dyDescent="0.25">
      <c r="A537">
        <v>1042</v>
      </c>
      <c r="B537">
        <v>48</v>
      </c>
      <c r="C537" t="s">
        <v>756</v>
      </c>
      <c r="D537" t="s">
        <v>1089</v>
      </c>
      <c r="E537" t="s">
        <v>17</v>
      </c>
      <c r="F537" s="3">
        <v>45822</v>
      </c>
      <c r="G537" s="1">
        <f>YEAR(Patient_data[[#This Row],[Appointment_Date]])</f>
        <v>2025</v>
      </c>
      <c r="H537" s="2" t="str">
        <f>TEXT(Patient_data[[#This Row],[Appointment_Date]],"mmmm")</f>
        <v>June</v>
      </c>
      <c r="I537" s="3" t="str">
        <f>TEXT(Patient_data[[#This Row],[Appointment_Date]],"mmm-yyyy")</f>
        <v>Jun-2025</v>
      </c>
      <c r="J537" s="3">
        <v>45737</v>
      </c>
      <c r="K537" t="s">
        <v>1090</v>
      </c>
      <c r="L537" t="s">
        <v>30</v>
      </c>
      <c r="M537" s="4">
        <v>164.15</v>
      </c>
      <c r="N537" t="s">
        <v>24</v>
      </c>
      <c r="O537">
        <f>Patient_data[[#This Row],[Appointment_Date]]-Patient_data[[#This Row],[Booking_Date]]</f>
        <v>85</v>
      </c>
    </row>
    <row r="538" spans="1:15" x14ac:dyDescent="0.25">
      <c r="A538">
        <v>1052</v>
      </c>
      <c r="B538">
        <v>48</v>
      </c>
      <c r="C538" t="s">
        <v>756</v>
      </c>
      <c r="D538" t="s">
        <v>1091</v>
      </c>
      <c r="E538" t="s">
        <v>28</v>
      </c>
      <c r="F538" s="3">
        <v>45878</v>
      </c>
      <c r="G538" s="1">
        <f>YEAR(Patient_data[[#This Row],[Appointment_Date]])</f>
        <v>2025</v>
      </c>
      <c r="H538" s="2" t="str">
        <f>TEXT(Patient_data[[#This Row],[Appointment_Date]],"mmmm")</f>
        <v>August</v>
      </c>
      <c r="I538" s="3" t="str">
        <f>TEXT(Patient_data[[#This Row],[Appointment_Date]],"mmm-yyyy")</f>
        <v>Aug-2025</v>
      </c>
      <c r="J538" s="3">
        <v>45773</v>
      </c>
      <c r="K538" t="s">
        <v>1092</v>
      </c>
      <c r="L538" t="s">
        <v>43</v>
      </c>
      <c r="M538" s="4">
        <v>9.73</v>
      </c>
      <c r="N538" t="s">
        <v>20</v>
      </c>
      <c r="O538">
        <f>Patient_data[[#This Row],[Appointment_Date]]-Patient_data[[#This Row],[Booking_Date]]</f>
        <v>105</v>
      </c>
    </row>
    <row r="539" spans="1:15" x14ac:dyDescent="0.25">
      <c r="A539">
        <v>1072</v>
      </c>
      <c r="B539">
        <v>47</v>
      </c>
      <c r="C539" t="s">
        <v>756</v>
      </c>
      <c r="D539" t="s">
        <v>1093</v>
      </c>
      <c r="E539" t="s">
        <v>28</v>
      </c>
      <c r="F539" s="3">
        <v>45795</v>
      </c>
      <c r="G539" s="1">
        <f>YEAR(Patient_data[[#This Row],[Appointment_Date]])</f>
        <v>2025</v>
      </c>
      <c r="H539" s="2" t="str">
        <f>TEXT(Patient_data[[#This Row],[Appointment_Date]],"mmmm")</f>
        <v>May</v>
      </c>
      <c r="I539" s="3" t="str">
        <f>TEXT(Patient_data[[#This Row],[Appointment_Date]],"mmm-yyyy")</f>
        <v>May-2025</v>
      </c>
      <c r="J539" s="3">
        <v>45544</v>
      </c>
      <c r="K539" t="s">
        <v>1094</v>
      </c>
      <c r="L539" t="s">
        <v>23</v>
      </c>
      <c r="M539" s="4">
        <v>85.76</v>
      </c>
      <c r="N539" t="s">
        <v>20</v>
      </c>
      <c r="O539">
        <f>Patient_data[[#This Row],[Appointment_Date]]-Patient_data[[#This Row],[Booking_Date]]</f>
        <v>251</v>
      </c>
    </row>
    <row r="540" spans="1:15" x14ac:dyDescent="0.25">
      <c r="A540">
        <v>1089</v>
      </c>
      <c r="B540">
        <v>47</v>
      </c>
      <c r="C540" t="s">
        <v>756</v>
      </c>
      <c r="D540" t="s">
        <v>1095</v>
      </c>
      <c r="E540" t="s">
        <v>28</v>
      </c>
      <c r="F540" s="3">
        <v>46064</v>
      </c>
      <c r="G540" s="1">
        <f>YEAR(Patient_data[[#This Row],[Appointment_Date]])</f>
        <v>2026</v>
      </c>
      <c r="H540" s="2" t="str">
        <f>TEXT(Patient_data[[#This Row],[Appointment_Date]],"mmmm")</f>
        <v>February</v>
      </c>
      <c r="I540" s="3" t="str">
        <f>TEXT(Patient_data[[#This Row],[Appointment_Date]],"mmm-yyyy")</f>
        <v>Feb-2026</v>
      </c>
      <c r="J540" s="3">
        <v>45702</v>
      </c>
      <c r="K540" t="s">
        <v>1096</v>
      </c>
      <c r="L540" t="s">
        <v>30</v>
      </c>
      <c r="M540" s="4">
        <v>65.37</v>
      </c>
      <c r="N540" t="s">
        <v>20</v>
      </c>
      <c r="O540">
        <f>Patient_data[[#This Row],[Appointment_Date]]-Patient_data[[#This Row],[Booking_Date]]</f>
        <v>362</v>
      </c>
    </row>
    <row r="541" spans="1:15" x14ac:dyDescent="0.25">
      <c r="A541">
        <v>1026</v>
      </c>
      <c r="B541">
        <v>47</v>
      </c>
      <c r="C541" t="s">
        <v>756</v>
      </c>
      <c r="D541" t="s">
        <v>1097</v>
      </c>
      <c r="E541" t="s">
        <v>28</v>
      </c>
      <c r="F541" s="3">
        <v>46028</v>
      </c>
      <c r="G541" s="1">
        <f>YEAR(Patient_data[[#This Row],[Appointment_Date]])</f>
        <v>2026</v>
      </c>
      <c r="H541" s="2" t="str">
        <f>TEXT(Patient_data[[#This Row],[Appointment_Date]],"mmmm")</f>
        <v>January</v>
      </c>
      <c r="I541" s="3" t="str">
        <f>TEXT(Patient_data[[#This Row],[Appointment_Date]],"mmm-yyyy")</f>
        <v>Jan-2026</v>
      </c>
      <c r="J541" s="3">
        <v>45576</v>
      </c>
      <c r="K541" t="s">
        <v>1098</v>
      </c>
      <c r="L541" t="s">
        <v>19</v>
      </c>
      <c r="M541" s="4">
        <v>0.52</v>
      </c>
      <c r="N541" t="s">
        <v>24</v>
      </c>
      <c r="O541">
        <f>Patient_data[[#This Row],[Appointment_Date]]-Patient_data[[#This Row],[Booking_Date]]</f>
        <v>452</v>
      </c>
    </row>
    <row r="542" spans="1:15" x14ac:dyDescent="0.25">
      <c r="A542">
        <v>1026</v>
      </c>
      <c r="B542">
        <v>47</v>
      </c>
      <c r="C542" t="s">
        <v>756</v>
      </c>
      <c r="D542" t="s">
        <v>1099</v>
      </c>
      <c r="E542" t="s">
        <v>28</v>
      </c>
      <c r="F542" s="3">
        <v>46070</v>
      </c>
      <c r="G542" s="1">
        <f>YEAR(Patient_data[[#This Row],[Appointment_Date]])</f>
        <v>2026</v>
      </c>
      <c r="H542" s="2" t="str">
        <f>TEXT(Patient_data[[#This Row],[Appointment_Date]],"mmmm")</f>
        <v>February</v>
      </c>
      <c r="I542" s="3" t="str">
        <f>TEXT(Patient_data[[#This Row],[Appointment_Date]],"mmm-yyyy")</f>
        <v>Feb-2026</v>
      </c>
      <c r="J542" s="3">
        <v>45421</v>
      </c>
      <c r="K542" t="s">
        <v>1100</v>
      </c>
      <c r="L542" t="s">
        <v>30</v>
      </c>
      <c r="M542" s="4">
        <v>15.89</v>
      </c>
      <c r="N542" t="s">
        <v>20</v>
      </c>
      <c r="O542">
        <f>Patient_data[[#This Row],[Appointment_Date]]-Patient_data[[#This Row],[Booking_Date]]</f>
        <v>649</v>
      </c>
    </row>
    <row r="543" spans="1:15" x14ac:dyDescent="0.25">
      <c r="A543">
        <v>1033</v>
      </c>
      <c r="B543">
        <v>47</v>
      </c>
      <c r="C543" t="s">
        <v>756</v>
      </c>
      <c r="D543" t="s">
        <v>1101</v>
      </c>
      <c r="E543" t="s">
        <v>17</v>
      </c>
      <c r="F543" s="3">
        <v>45994</v>
      </c>
      <c r="G543" s="1">
        <f>YEAR(Patient_data[[#This Row],[Appointment_Date]])</f>
        <v>2025</v>
      </c>
      <c r="H543" s="2" t="str">
        <f>TEXT(Patient_data[[#This Row],[Appointment_Date]],"mmmm")</f>
        <v>December</v>
      </c>
      <c r="I543" s="3" t="str">
        <f>TEXT(Patient_data[[#This Row],[Appointment_Date]],"mmm-yyyy")</f>
        <v>Dec-2025</v>
      </c>
      <c r="J543" s="3">
        <v>45893</v>
      </c>
      <c r="K543" t="s">
        <v>1102</v>
      </c>
      <c r="L543" t="s">
        <v>30</v>
      </c>
      <c r="M543" s="4">
        <v>16.75</v>
      </c>
      <c r="N543" t="s">
        <v>20</v>
      </c>
      <c r="O543">
        <f>Patient_data[[#This Row],[Appointment_Date]]-Patient_data[[#This Row],[Booking_Date]]</f>
        <v>101</v>
      </c>
    </row>
    <row r="544" spans="1:15" x14ac:dyDescent="0.25">
      <c r="A544">
        <v>1048</v>
      </c>
      <c r="B544">
        <v>47</v>
      </c>
      <c r="C544" t="s">
        <v>756</v>
      </c>
      <c r="D544" t="s">
        <v>1103</v>
      </c>
      <c r="E544" t="s">
        <v>28</v>
      </c>
      <c r="F544" s="3">
        <v>45875</v>
      </c>
      <c r="G544" s="1">
        <f>YEAR(Patient_data[[#This Row],[Appointment_Date]])</f>
        <v>2025</v>
      </c>
      <c r="H544" s="2" t="str">
        <f>TEXT(Patient_data[[#This Row],[Appointment_Date]],"mmmm")</f>
        <v>August</v>
      </c>
      <c r="I544" s="3" t="str">
        <f>TEXT(Patient_data[[#This Row],[Appointment_Date]],"mmm-yyyy")</f>
        <v>Aug-2025</v>
      </c>
      <c r="J544" s="3">
        <v>45859</v>
      </c>
      <c r="K544" t="s">
        <v>1104</v>
      </c>
      <c r="L544" t="s">
        <v>19</v>
      </c>
      <c r="M544" s="4">
        <v>74.040000000000006</v>
      </c>
      <c r="N544" t="s">
        <v>24</v>
      </c>
      <c r="O544">
        <f>Patient_data[[#This Row],[Appointment_Date]]-Patient_data[[#This Row],[Booking_Date]]</f>
        <v>16</v>
      </c>
    </row>
    <row r="545" spans="1:15" x14ac:dyDescent="0.25">
      <c r="A545">
        <v>1039</v>
      </c>
      <c r="B545">
        <v>47</v>
      </c>
      <c r="C545" t="s">
        <v>756</v>
      </c>
      <c r="D545" t="s">
        <v>1105</v>
      </c>
      <c r="E545" t="s">
        <v>28</v>
      </c>
      <c r="F545" s="3">
        <v>45827</v>
      </c>
      <c r="G545" s="1">
        <f>YEAR(Patient_data[[#This Row],[Appointment_Date]])</f>
        <v>2025</v>
      </c>
      <c r="H545" s="2" t="str">
        <f>TEXT(Patient_data[[#This Row],[Appointment_Date]],"mmmm")</f>
        <v>June</v>
      </c>
      <c r="I545" s="3" t="str">
        <f>TEXT(Patient_data[[#This Row],[Appointment_Date]],"mmm-yyyy")</f>
        <v>Jun-2025</v>
      </c>
      <c r="J545" s="3">
        <v>45419</v>
      </c>
      <c r="K545" t="s">
        <v>1106</v>
      </c>
      <c r="L545" t="s">
        <v>43</v>
      </c>
      <c r="M545" s="4">
        <v>97.72</v>
      </c>
      <c r="N545" t="s">
        <v>24</v>
      </c>
      <c r="O545">
        <f>Patient_data[[#This Row],[Appointment_Date]]-Patient_data[[#This Row],[Booking_Date]]</f>
        <v>408</v>
      </c>
    </row>
    <row r="546" spans="1:15" x14ac:dyDescent="0.25">
      <c r="A546">
        <v>1004</v>
      </c>
      <c r="B546">
        <v>47</v>
      </c>
      <c r="C546" t="s">
        <v>756</v>
      </c>
      <c r="D546" t="s">
        <v>1107</v>
      </c>
      <c r="E546" t="s">
        <v>28</v>
      </c>
      <c r="F546" s="3">
        <v>45986</v>
      </c>
      <c r="G546" s="1">
        <f>YEAR(Patient_data[[#This Row],[Appointment_Date]])</f>
        <v>2025</v>
      </c>
      <c r="H546" s="2" t="str">
        <f>TEXT(Patient_data[[#This Row],[Appointment_Date]],"mmmm")</f>
        <v>November</v>
      </c>
      <c r="I546" s="3" t="str">
        <f>TEXT(Patient_data[[#This Row],[Appointment_Date]],"mmm-yyyy")</f>
        <v>Nov-2025</v>
      </c>
      <c r="J546" s="3">
        <v>45571</v>
      </c>
      <c r="K546" t="s">
        <v>1108</v>
      </c>
      <c r="L546" t="s">
        <v>30</v>
      </c>
      <c r="M546" s="4">
        <v>59.32</v>
      </c>
      <c r="N546" t="s">
        <v>20</v>
      </c>
      <c r="O546">
        <f>Patient_data[[#This Row],[Appointment_Date]]-Patient_data[[#This Row],[Booking_Date]]</f>
        <v>415</v>
      </c>
    </row>
    <row r="547" spans="1:15" x14ac:dyDescent="0.25">
      <c r="A547">
        <v>1071</v>
      </c>
      <c r="B547">
        <v>46</v>
      </c>
      <c r="C547" t="s">
        <v>756</v>
      </c>
      <c r="D547" t="s">
        <v>1109</v>
      </c>
      <c r="E547" t="s">
        <v>17</v>
      </c>
      <c r="F547" s="3">
        <v>46032</v>
      </c>
      <c r="G547" s="1">
        <f>YEAR(Patient_data[[#This Row],[Appointment_Date]])</f>
        <v>2026</v>
      </c>
      <c r="H547" s="2" t="str">
        <f>TEXT(Patient_data[[#This Row],[Appointment_Date]],"mmmm")</f>
        <v>January</v>
      </c>
      <c r="I547" s="3" t="str">
        <f>TEXT(Patient_data[[#This Row],[Appointment_Date]],"mmm-yyyy")</f>
        <v>Jan-2026</v>
      </c>
      <c r="J547" s="3">
        <v>45597</v>
      </c>
      <c r="K547" t="s">
        <v>1110</v>
      </c>
      <c r="L547" t="s">
        <v>23</v>
      </c>
      <c r="M547" s="4">
        <v>96.22</v>
      </c>
      <c r="N547" t="s">
        <v>20</v>
      </c>
      <c r="O547">
        <f>Patient_data[[#This Row],[Appointment_Date]]-Patient_data[[#This Row],[Booking_Date]]</f>
        <v>435</v>
      </c>
    </row>
    <row r="548" spans="1:15" x14ac:dyDescent="0.25">
      <c r="A548">
        <v>1038</v>
      </c>
      <c r="B548">
        <v>46</v>
      </c>
      <c r="C548" t="s">
        <v>756</v>
      </c>
      <c r="D548" t="s">
        <v>1111</v>
      </c>
      <c r="E548" t="s">
        <v>28</v>
      </c>
      <c r="F548" s="3">
        <v>45904</v>
      </c>
      <c r="G548" s="1">
        <f>YEAR(Patient_data[[#This Row],[Appointment_Date]])</f>
        <v>2025</v>
      </c>
      <c r="H548" s="2" t="str">
        <f>TEXT(Patient_data[[#This Row],[Appointment_Date]],"mmmm")</f>
        <v>September</v>
      </c>
      <c r="I548" s="3" t="str">
        <f>TEXT(Patient_data[[#This Row],[Appointment_Date]],"mmm-yyyy")</f>
        <v>Sep-2025</v>
      </c>
      <c r="J548" s="3">
        <v>45785</v>
      </c>
      <c r="K548" t="s">
        <v>1112</v>
      </c>
      <c r="L548" t="s">
        <v>43</v>
      </c>
      <c r="M548" s="4">
        <v>92.67</v>
      </c>
      <c r="N548" t="s">
        <v>24</v>
      </c>
      <c r="O548">
        <f>Patient_data[[#This Row],[Appointment_Date]]-Patient_data[[#This Row],[Booking_Date]]</f>
        <v>119</v>
      </c>
    </row>
    <row r="549" spans="1:15" x14ac:dyDescent="0.25">
      <c r="A549">
        <v>1056</v>
      </c>
      <c r="B549">
        <v>46</v>
      </c>
      <c r="C549" t="s">
        <v>756</v>
      </c>
      <c r="D549" t="s">
        <v>1113</v>
      </c>
      <c r="E549" t="s">
        <v>28</v>
      </c>
      <c r="F549" s="3">
        <v>46093</v>
      </c>
      <c r="G549" s="1">
        <f>YEAR(Patient_data[[#This Row],[Appointment_Date]])</f>
        <v>2026</v>
      </c>
      <c r="H549" s="2" t="str">
        <f>TEXT(Patient_data[[#This Row],[Appointment_Date]],"mmmm")</f>
        <v>March</v>
      </c>
      <c r="I549" s="3" t="str">
        <f>TEXT(Patient_data[[#This Row],[Appointment_Date]],"mmm-yyyy")</f>
        <v>Mar-2026</v>
      </c>
      <c r="J549" s="3">
        <v>45880</v>
      </c>
      <c r="K549" t="s">
        <v>1114</v>
      </c>
      <c r="L549" t="s">
        <v>19</v>
      </c>
      <c r="M549" s="4">
        <v>435.55</v>
      </c>
      <c r="N549" t="s">
        <v>20</v>
      </c>
      <c r="O549">
        <f>Patient_data[[#This Row],[Appointment_Date]]-Patient_data[[#This Row],[Booking_Date]]</f>
        <v>213</v>
      </c>
    </row>
    <row r="550" spans="1:15" x14ac:dyDescent="0.25">
      <c r="A550">
        <v>1023</v>
      </c>
      <c r="B550">
        <v>46</v>
      </c>
      <c r="C550" t="s">
        <v>756</v>
      </c>
      <c r="D550" t="s">
        <v>1115</v>
      </c>
      <c r="E550" t="s">
        <v>28</v>
      </c>
      <c r="F550" s="3">
        <v>46060</v>
      </c>
      <c r="G550" s="1">
        <f>YEAR(Patient_data[[#This Row],[Appointment_Date]])</f>
        <v>2026</v>
      </c>
      <c r="H550" s="2" t="str">
        <f>TEXT(Patient_data[[#This Row],[Appointment_Date]],"mmmm")</f>
        <v>February</v>
      </c>
      <c r="I550" s="3" t="str">
        <f>TEXT(Patient_data[[#This Row],[Appointment_Date]],"mmm-yyyy")</f>
        <v>Feb-2026</v>
      </c>
      <c r="J550" s="3">
        <v>45645</v>
      </c>
      <c r="K550" t="s">
        <v>1116</v>
      </c>
      <c r="L550" t="s">
        <v>19</v>
      </c>
      <c r="M550" s="4">
        <v>51.94</v>
      </c>
      <c r="N550" t="s">
        <v>24</v>
      </c>
      <c r="O550">
        <f>Patient_data[[#This Row],[Appointment_Date]]-Patient_data[[#This Row],[Booking_Date]]</f>
        <v>415</v>
      </c>
    </row>
    <row r="551" spans="1:15" x14ac:dyDescent="0.25">
      <c r="A551">
        <v>1016</v>
      </c>
      <c r="B551">
        <v>46</v>
      </c>
      <c r="C551" t="s">
        <v>756</v>
      </c>
      <c r="D551" t="s">
        <v>1117</v>
      </c>
      <c r="E551" t="s">
        <v>17</v>
      </c>
      <c r="F551" s="3">
        <v>45826</v>
      </c>
      <c r="G551" s="1">
        <f>YEAR(Patient_data[[#This Row],[Appointment_Date]])</f>
        <v>2025</v>
      </c>
      <c r="H551" s="2" t="str">
        <f>TEXT(Patient_data[[#This Row],[Appointment_Date]],"mmmm")</f>
        <v>June</v>
      </c>
      <c r="I551" s="3" t="str">
        <f>TEXT(Patient_data[[#This Row],[Appointment_Date]],"mmm-yyyy")</f>
        <v>Jun-2025</v>
      </c>
      <c r="J551" s="3">
        <v>45584</v>
      </c>
      <c r="K551" t="s">
        <v>1118</v>
      </c>
      <c r="L551" t="s">
        <v>43</v>
      </c>
      <c r="M551" s="4">
        <v>353.07</v>
      </c>
      <c r="N551" t="s">
        <v>24</v>
      </c>
      <c r="O551">
        <f>Patient_data[[#This Row],[Appointment_Date]]-Patient_data[[#This Row],[Booking_Date]]</f>
        <v>242</v>
      </c>
    </row>
    <row r="552" spans="1:15" x14ac:dyDescent="0.25">
      <c r="A552">
        <v>1063</v>
      </c>
      <c r="B552">
        <v>46</v>
      </c>
      <c r="C552" t="s">
        <v>756</v>
      </c>
      <c r="D552" t="s">
        <v>1119</v>
      </c>
      <c r="E552" t="s">
        <v>17</v>
      </c>
      <c r="F552" s="3">
        <v>45948</v>
      </c>
      <c r="G552" s="1">
        <f>YEAR(Patient_data[[#This Row],[Appointment_Date]])</f>
        <v>2025</v>
      </c>
      <c r="H552" s="2" t="str">
        <f>TEXT(Patient_data[[#This Row],[Appointment_Date]],"mmmm")</f>
        <v>October</v>
      </c>
      <c r="I552" s="3" t="str">
        <f>TEXT(Patient_data[[#This Row],[Appointment_Date]],"mmm-yyyy")</f>
        <v>Oct-2025</v>
      </c>
      <c r="J552" s="3">
        <v>45568</v>
      </c>
      <c r="K552" t="s">
        <v>1120</v>
      </c>
      <c r="L552" t="s">
        <v>43</v>
      </c>
      <c r="M552" s="4">
        <v>30.76</v>
      </c>
      <c r="N552" t="s">
        <v>20</v>
      </c>
      <c r="O552">
        <f>Patient_data[[#This Row],[Appointment_Date]]-Patient_data[[#This Row],[Booking_Date]]</f>
        <v>380</v>
      </c>
    </row>
    <row r="553" spans="1:15" x14ac:dyDescent="0.25">
      <c r="A553">
        <v>1039</v>
      </c>
      <c r="B553">
        <v>46</v>
      </c>
      <c r="C553" t="s">
        <v>756</v>
      </c>
      <c r="D553" t="s">
        <v>1121</v>
      </c>
      <c r="E553" t="s">
        <v>28</v>
      </c>
      <c r="F553" s="3">
        <v>45867</v>
      </c>
      <c r="G553" s="1">
        <f>YEAR(Patient_data[[#This Row],[Appointment_Date]])</f>
        <v>2025</v>
      </c>
      <c r="H553" s="2" t="str">
        <f>TEXT(Patient_data[[#This Row],[Appointment_Date]],"mmmm")</f>
        <v>July</v>
      </c>
      <c r="I553" s="3" t="str">
        <f>TEXT(Patient_data[[#This Row],[Appointment_Date]],"mmm-yyyy")</f>
        <v>Jul-2025</v>
      </c>
      <c r="J553" s="3">
        <v>45669</v>
      </c>
      <c r="K553" t="s">
        <v>1122</v>
      </c>
      <c r="L553" t="s">
        <v>30</v>
      </c>
      <c r="M553" s="4">
        <v>160.18</v>
      </c>
      <c r="N553" t="s">
        <v>24</v>
      </c>
      <c r="O553">
        <f>Patient_data[[#This Row],[Appointment_Date]]-Patient_data[[#This Row],[Booking_Date]]</f>
        <v>198</v>
      </c>
    </row>
    <row r="554" spans="1:15" x14ac:dyDescent="0.25">
      <c r="A554">
        <v>1035</v>
      </c>
      <c r="B554">
        <v>46</v>
      </c>
      <c r="C554" t="s">
        <v>756</v>
      </c>
      <c r="D554" t="s">
        <v>1123</v>
      </c>
      <c r="E554" t="s">
        <v>28</v>
      </c>
      <c r="F554" s="3">
        <v>45882</v>
      </c>
      <c r="G554" s="1">
        <f>YEAR(Patient_data[[#This Row],[Appointment_Date]])</f>
        <v>2025</v>
      </c>
      <c r="H554" s="2" t="str">
        <f>TEXT(Patient_data[[#This Row],[Appointment_Date]],"mmmm")</f>
        <v>August</v>
      </c>
      <c r="I554" s="3" t="str">
        <f>TEXT(Patient_data[[#This Row],[Appointment_Date]],"mmm-yyyy")</f>
        <v>Aug-2025</v>
      </c>
      <c r="J554" s="3">
        <v>45802</v>
      </c>
      <c r="K554" t="s">
        <v>1124</v>
      </c>
      <c r="L554" t="s">
        <v>30</v>
      </c>
      <c r="M554" s="4">
        <v>167.5</v>
      </c>
      <c r="N554" t="s">
        <v>24</v>
      </c>
      <c r="O554">
        <f>Patient_data[[#This Row],[Appointment_Date]]-Patient_data[[#This Row],[Booking_Date]]</f>
        <v>80</v>
      </c>
    </row>
    <row r="555" spans="1:15" x14ac:dyDescent="0.25">
      <c r="A555">
        <v>1100</v>
      </c>
      <c r="B555">
        <v>46</v>
      </c>
      <c r="C555" t="s">
        <v>756</v>
      </c>
      <c r="D555" t="s">
        <v>1125</v>
      </c>
      <c r="E555" t="s">
        <v>17</v>
      </c>
      <c r="F555" s="3">
        <v>46054</v>
      </c>
      <c r="G555" s="1">
        <f>YEAR(Patient_data[[#This Row],[Appointment_Date]])</f>
        <v>2026</v>
      </c>
      <c r="H555" s="2" t="str">
        <f>TEXT(Patient_data[[#This Row],[Appointment_Date]],"mmmm")</f>
        <v>February</v>
      </c>
      <c r="I555" s="3" t="str">
        <f>TEXT(Patient_data[[#This Row],[Appointment_Date]],"mmm-yyyy")</f>
        <v>Feb-2026</v>
      </c>
      <c r="J555" s="3">
        <v>45835</v>
      </c>
      <c r="K555" t="s">
        <v>1126</v>
      </c>
      <c r="L555" t="s">
        <v>30</v>
      </c>
      <c r="M555" s="4">
        <v>82.71</v>
      </c>
      <c r="N555" t="s">
        <v>24</v>
      </c>
      <c r="O555">
        <f>Patient_data[[#This Row],[Appointment_Date]]-Patient_data[[#This Row],[Booking_Date]]</f>
        <v>219</v>
      </c>
    </row>
    <row r="556" spans="1:15" x14ac:dyDescent="0.25">
      <c r="A556">
        <v>1066</v>
      </c>
      <c r="B556">
        <v>46</v>
      </c>
      <c r="C556" t="s">
        <v>756</v>
      </c>
      <c r="D556" t="s">
        <v>1127</v>
      </c>
      <c r="E556" t="s">
        <v>28</v>
      </c>
      <c r="F556" s="3">
        <v>46107</v>
      </c>
      <c r="G556" s="1">
        <f>YEAR(Patient_data[[#This Row],[Appointment_Date]])</f>
        <v>2026</v>
      </c>
      <c r="H556" s="2" t="str">
        <f>TEXT(Patient_data[[#This Row],[Appointment_Date]],"mmmm")</f>
        <v>March</v>
      </c>
      <c r="I556" s="3" t="str">
        <f>TEXT(Patient_data[[#This Row],[Appointment_Date]],"mmm-yyyy")</f>
        <v>Mar-2026</v>
      </c>
      <c r="J556" s="3">
        <v>45829</v>
      </c>
      <c r="K556" t="s">
        <v>1128</v>
      </c>
      <c r="L556" t="s">
        <v>30</v>
      </c>
      <c r="M556" s="4">
        <v>0.52</v>
      </c>
      <c r="N556" t="s">
        <v>20</v>
      </c>
      <c r="O556">
        <f>Patient_data[[#This Row],[Appointment_Date]]-Patient_data[[#This Row],[Booking_Date]]</f>
        <v>278</v>
      </c>
    </row>
    <row r="557" spans="1:15" x14ac:dyDescent="0.25">
      <c r="A557">
        <v>1011</v>
      </c>
      <c r="B557">
        <v>45</v>
      </c>
      <c r="C557" t="s">
        <v>1129</v>
      </c>
      <c r="D557" t="s">
        <v>1130</v>
      </c>
      <c r="E557" t="s">
        <v>17</v>
      </c>
      <c r="F557" s="3">
        <v>46097</v>
      </c>
      <c r="G557" s="1">
        <f>YEAR(Patient_data[[#This Row],[Appointment_Date]])</f>
        <v>2026</v>
      </c>
      <c r="H557" s="2" t="str">
        <f>TEXT(Patient_data[[#This Row],[Appointment_Date]],"mmmm")</f>
        <v>March</v>
      </c>
      <c r="I557" s="3" t="str">
        <f>TEXT(Patient_data[[#This Row],[Appointment_Date]],"mmm-yyyy")</f>
        <v>Mar-2026</v>
      </c>
      <c r="J557" s="3">
        <v>46003</v>
      </c>
      <c r="K557" t="s">
        <v>1131</v>
      </c>
      <c r="L557" t="s">
        <v>19</v>
      </c>
      <c r="M557" s="4">
        <v>94.97</v>
      </c>
      <c r="N557" t="s">
        <v>24</v>
      </c>
      <c r="O557">
        <f>Patient_data[[#This Row],[Appointment_Date]]-Patient_data[[#This Row],[Booking_Date]]</f>
        <v>94</v>
      </c>
    </row>
    <row r="558" spans="1:15" x14ac:dyDescent="0.25">
      <c r="A558">
        <v>1023</v>
      </c>
      <c r="B558">
        <v>45</v>
      </c>
      <c r="C558" t="s">
        <v>1129</v>
      </c>
      <c r="D558" t="s">
        <v>1132</v>
      </c>
      <c r="E558" t="s">
        <v>17</v>
      </c>
      <c r="F558" s="3">
        <v>45829</v>
      </c>
      <c r="G558" s="1">
        <f>YEAR(Patient_data[[#This Row],[Appointment_Date]])</f>
        <v>2025</v>
      </c>
      <c r="H558" s="2" t="str">
        <f>TEXT(Patient_data[[#This Row],[Appointment_Date]],"mmmm")</f>
        <v>June</v>
      </c>
      <c r="I558" s="3" t="str">
        <f>TEXT(Patient_data[[#This Row],[Appointment_Date]],"mmm-yyyy")</f>
        <v>Jun-2025</v>
      </c>
      <c r="J558" s="3">
        <v>45729</v>
      </c>
      <c r="K558" t="s">
        <v>1133</v>
      </c>
      <c r="L558" t="s">
        <v>30</v>
      </c>
      <c r="M558" s="4">
        <v>45.21</v>
      </c>
      <c r="N558" t="s">
        <v>24</v>
      </c>
      <c r="O558">
        <f>Patient_data[[#This Row],[Appointment_Date]]-Patient_data[[#This Row],[Booking_Date]]</f>
        <v>100</v>
      </c>
    </row>
    <row r="559" spans="1:15" x14ac:dyDescent="0.25">
      <c r="A559">
        <v>1080</v>
      </c>
      <c r="B559">
        <v>45</v>
      </c>
      <c r="C559" t="s">
        <v>1129</v>
      </c>
      <c r="D559" t="s">
        <v>1134</v>
      </c>
      <c r="E559" t="s">
        <v>28</v>
      </c>
      <c r="F559" s="3">
        <v>45972</v>
      </c>
      <c r="G559" s="1">
        <f>YEAR(Patient_data[[#This Row],[Appointment_Date]])</f>
        <v>2025</v>
      </c>
      <c r="H559" s="2" t="str">
        <f>TEXT(Patient_data[[#This Row],[Appointment_Date]],"mmmm")</f>
        <v>November</v>
      </c>
      <c r="I559" s="3" t="str">
        <f>TEXT(Patient_data[[#This Row],[Appointment_Date]],"mmm-yyyy")</f>
        <v>Nov-2025</v>
      </c>
      <c r="J559" s="3">
        <v>45818</v>
      </c>
      <c r="K559" t="s">
        <v>1135</v>
      </c>
      <c r="L559" t="s">
        <v>30</v>
      </c>
      <c r="M559" s="4">
        <v>185.29</v>
      </c>
      <c r="N559" t="s">
        <v>20</v>
      </c>
      <c r="O559">
        <f>Patient_data[[#This Row],[Appointment_Date]]-Patient_data[[#This Row],[Booking_Date]]</f>
        <v>154</v>
      </c>
    </row>
    <row r="560" spans="1:15" x14ac:dyDescent="0.25">
      <c r="A560">
        <v>1038</v>
      </c>
      <c r="B560">
        <v>45</v>
      </c>
      <c r="C560" t="s">
        <v>1129</v>
      </c>
      <c r="D560" t="s">
        <v>1136</v>
      </c>
      <c r="E560" t="s">
        <v>28</v>
      </c>
      <c r="F560" s="3">
        <v>46079</v>
      </c>
      <c r="G560" s="1">
        <f>YEAR(Patient_data[[#This Row],[Appointment_Date]])</f>
        <v>2026</v>
      </c>
      <c r="H560" s="2" t="str">
        <f>TEXT(Patient_data[[#This Row],[Appointment_Date]],"mmmm")</f>
        <v>February</v>
      </c>
      <c r="I560" s="3" t="str">
        <f>TEXT(Patient_data[[#This Row],[Appointment_Date]],"mmm-yyyy")</f>
        <v>Feb-2026</v>
      </c>
      <c r="J560" s="3">
        <v>45811</v>
      </c>
      <c r="K560" t="s">
        <v>1137</v>
      </c>
      <c r="L560" t="s">
        <v>23</v>
      </c>
      <c r="M560" s="4">
        <v>3.22</v>
      </c>
      <c r="N560" t="s">
        <v>24</v>
      </c>
      <c r="O560">
        <f>Patient_data[[#This Row],[Appointment_Date]]-Patient_data[[#This Row],[Booking_Date]]</f>
        <v>268</v>
      </c>
    </row>
    <row r="561" spans="1:15" x14ac:dyDescent="0.25">
      <c r="A561">
        <v>1020</v>
      </c>
      <c r="B561">
        <v>45</v>
      </c>
      <c r="C561" t="s">
        <v>1129</v>
      </c>
      <c r="D561" t="s">
        <v>1138</v>
      </c>
      <c r="E561" t="s">
        <v>28</v>
      </c>
      <c r="F561" s="3">
        <v>45990</v>
      </c>
      <c r="G561" s="1">
        <f>YEAR(Patient_data[[#This Row],[Appointment_Date]])</f>
        <v>2025</v>
      </c>
      <c r="H561" s="2" t="str">
        <f>TEXT(Patient_data[[#This Row],[Appointment_Date]],"mmmm")</f>
        <v>November</v>
      </c>
      <c r="I561" s="3" t="str">
        <f>TEXT(Patient_data[[#This Row],[Appointment_Date]],"mmm-yyyy")</f>
        <v>Nov-2025</v>
      </c>
      <c r="J561" s="3">
        <v>45900</v>
      </c>
      <c r="K561" t="s">
        <v>1139</v>
      </c>
      <c r="L561" t="s">
        <v>23</v>
      </c>
      <c r="M561" s="4">
        <v>43.21</v>
      </c>
      <c r="N561" t="s">
        <v>20</v>
      </c>
      <c r="O561">
        <f>Patient_data[[#This Row],[Appointment_Date]]-Patient_data[[#This Row],[Booking_Date]]</f>
        <v>90</v>
      </c>
    </row>
    <row r="562" spans="1:15" x14ac:dyDescent="0.25">
      <c r="A562">
        <v>1012</v>
      </c>
      <c r="B562">
        <v>45</v>
      </c>
      <c r="C562" t="s">
        <v>1129</v>
      </c>
      <c r="D562" t="s">
        <v>1140</v>
      </c>
      <c r="E562" t="s">
        <v>17</v>
      </c>
      <c r="F562" s="3">
        <v>45863</v>
      </c>
      <c r="G562" s="1">
        <f>YEAR(Patient_data[[#This Row],[Appointment_Date]])</f>
        <v>2025</v>
      </c>
      <c r="H562" s="2" t="str">
        <f>TEXT(Patient_data[[#This Row],[Appointment_Date]],"mmmm")</f>
        <v>July</v>
      </c>
      <c r="I562" s="3" t="str">
        <f>TEXT(Patient_data[[#This Row],[Appointment_Date]],"mmm-yyyy")</f>
        <v>Jul-2025</v>
      </c>
      <c r="J562" s="3">
        <v>45535</v>
      </c>
      <c r="K562" t="s">
        <v>1141</v>
      </c>
      <c r="L562" t="s">
        <v>43</v>
      </c>
      <c r="M562" s="4">
        <v>53.09</v>
      </c>
      <c r="N562" t="s">
        <v>20</v>
      </c>
      <c r="O562">
        <f>Patient_data[[#This Row],[Appointment_Date]]-Patient_data[[#This Row],[Booking_Date]]</f>
        <v>328</v>
      </c>
    </row>
    <row r="563" spans="1:15" x14ac:dyDescent="0.25">
      <c r="A563">
        <v>1016</v>
      </c>
      <c r="B563">
        <v>44</v>
      </c>
      <c r="C563" t="s">
        <v>1129</v>
      </c>
      <c r="D563" t="s">
        <v>1142</v>
      </c>
      <c r="E563" t="s">
        <v>17</v>
      </c>
      <c r="F563" s="3">
        <v>45830</v>
      </c>
      <c r="G563" s="1">
        <f>YEAR(Patient_data[[#This Row],[Appointment_Date]])</f>
        <v>2025</v>
      </c>
      <c r="H563" s="2" t="str">
        <f>TEXT(Patient_data[[#This Row],[Appointment_Date]],"mmmm")</f>
        <v>June</v>
      </c>
      <c r="I563" s="3" t="str">
        <f>TEXT(Patient_data[[#This Row],[Appointment_Date]],"mmm-yyyy")</f>
        <v>Jun-2025</v>
      </c>
      <c r="J563" s="3">
        <v>45461</v>
      </c>
      <c r="K563" t="s">
        <v>1143</v>
      </c>
      <c r="L563" t="s">
        <v>43</v>
      </c>
      <c r="M563" s="4">
        <v>57.66</v>
      </c>
      <c r="N563" t="s">
        <v>24</v>
      </c>
      <c r="O563">
        <f>Patient_data[[#This Row],[Appointment_Date]]-Patient_data[[#This Row],[Booking_Date]]</f>
        <v>369</v>
      </c>
    </row>
    <row r="564" spans="1:15" x14ac:dyDescent="0.25">
      <c r="A564">
        <v>1031</v>
      </c>
      <c r="B564">
        <v>44</v>
      </c>
      <c r="C564" t="s">
        <v>1129</v>
      </c>
      <c r="D564" t="s">
        <v>1144</v>
      </c>
      <c r="E564" t="s">
        <v>17</v>
      </c>
      <c r="F564" s="3">
        <v>46041</v>
      </c>
      <c r="G564" s="1">
        <f>YEAR(Patient_data[[#This Row],[Appointment_Date]])</f>
        <v>2026</v>
      </c>
      <c r="H564" s="2" t="str">
        <f>TEXT(Patient_data[[#This Row],[Appointment_Date]],"mmmm")</f>
        <v>January</v>
      </c>
      <c r="I564" s="3" t="str">
        <f>TEXT(Patient_data[[#This Row],[Appointment_Date]],"mmm-yyyy")</f>
        <v>Jan-2026</v>
      </c>
      <c r="J564" s="3">
        <v>45457</v>
      </c>
      <c r="K564" t="s">
        <v>1145</v>
      </c>
      <c r="L564" t="s">
        <v>43</v>
      </c>
      <c r="M564" s="4">
        <v>84.66</v>
      </c>
      <c r="N564" t="s">
        <v>20</v>
      </c>
      <c r="O564">
        <f>Patient_data[[#This Row],[Appointment_Date]]-Patient_data[[#This Row],[Booking_Date]]</f>
        <v>584</v>
      </c>
    </row>
    <row r="565" spans="1:15" x14ac:dyDescent="0.25">
      <c r="A565">
        <v>1036</v>
      </c>
      <c r="B565">
        <v>44</v>
      </c>
      <c r="C565" t="s">
        <v>1129</v>
      </c>
      <c r="D565" t="s">
        <v>1146</v>
      </c>
      <c r="E565" t="s">
        <v>28</v>
      </c>
      <c r="F565" s="3">
        <v>45943</v>
      </c>
      <c r="G565" s="1">
        <f>YEAR(Patient_data[[#This Row],[Appointment_Date]])</f>
        <v>2025</v>
      </c>
      <c r="H565" s="2" t="str">
        <f>TEXT(Patient_data[[#This Row],[Appointment_Date]],"mmmm")</f>
        <v>October</v>
      </c>
      <c r="I565" s="3" t="str">
        <f>TEXT(Patient_data[[#This Row],[Appointment_Date]],"mmm-yyyy")</f>
        <v>Oct-2025</v>
      </c>
      <c r="J565" s="3">
        <v>45459</v>
      </c>
      <c r="K565" t="s">
        <v>1147</v>
      </c>
      <c r="L565" t="s">
        <v>43</v>
      </c>
      <c r="M565" s="4">
        <v>48.97</v>
      </c>
      <c r="N565" t="s">
        <v>24</v>
      </c>
      <c r="O565">
        <f>Patient_data[[#This Row],[Appointment_Date]]-Patient_data[[#This Row],[Booking_Date]]</f>
        <v>484</v>
      </c>
    </row>
    <row r="566" spans="1:15" x14ac:dyDescent="0.25">
      <c r="A566">
        <v>1092</v>
      </c>
      <c r="B566">
        <v>44</v>
      </c>
      <c r="C566" t="s">
        <v>1129</v>
      </c>
      <c r="D566" t="s">
        <v>1148</v>
      </c>
      <c r="E566" t="s">
        <v>17</v>
      </c>
      <c r="F566" s="3">
        <v>45992</v>
      </c>
      <c r="G566" s="1">
        <f>YEAR(Patient_data[[#This Row],[Appointment_Date]])</f>
        <v>2025</v>
      </c>
      <c r="H566" s="2" t="str">
        <f>TEXT(Patient_data[[#This Row],[Appointment_Date]],"mmmm")</f>
        <v>December</v>
      </c>
      <c r="I566" s="3" t="str">
        <f>TEXT(Patient_data[[#This Row],[Appointment_Date]],"mmm-yyyy")</f>
        <v>Dec-2025</v>
      </c>
      <c r="J566" s="3">
        <v>45504</v>
      </c>
      <c r="K566" t="s">
        <v>1149</v>
      </c>
      <c r="L566" t="s">
        <v>43</v>
      </c>
      <c r="M566" s="4">
        <v>3.3</v>
      </c>
      <c r="N566" t="s">
        <v>24</v>
      </c>
      <c r="O566">
        <f>Patient_data[[#This Row],[Appointment_Date]]-Patient_data[[#This Row],[Booking_Date]]</f>
        <v>488</v>
      </c>
    </row>
    <row r="567" spans="1:15" x14ac:dyDescent="0.25">
      <c r="A567">
        <v>1008</v>
      </c>
      <c r="B567">
        <v>44</v>
      </c>
      <c r="C567" t="s">
        <v>1129</v>
      </c>
      <c r="D567" t="s">
        <v>1150</v>
      </c>
      <c r="E567" t="s">
        <v>28</v>
      </c>
      <c r="F567" s="3">
        <v>45937</v>
      </c>
      <c r="G567" s="1">
        <f>YEAR(Patient_data[[#This Row],[Appointment_Date]])</f>
        <v>2025</v>
      </c>
      <c r="H567" s="2" t="str">
        <f>TEXT(Patient_data[[#This Row],[Appointment_Date]],"mmmm")</f>
        <v>October</v>
      </c>
      <c r="I567" s="3" t="str">
        <f>TEXT(Patient_data[[#This Row],[Appointment_Date]],"mmm-yyyy")</f>
        <v>Oct-2025</v>
      </c>
      <c r="J567" s="3">
        <v>45613</v>
      </c>
      <c r="K567" t="s">
        <v>1151</v>
      </c>
      <c r="L567" t="s">
        <v>19</v>
      </c>
      <c r="M567" s="4">
        <v>291.99</v>
      </c>
      <c r="N567" t="s">
        <v>20</v>
      </c>
      <c r="O567">
        <f>Patient_data[[#This Row],[Appointment_Date]]-Patient_data[[#This Row],[Booking_Date]]</f>
        <v>324</v>
      </c>
    </row>
    <row r="568" spans="1:15" x14ac:dyDescent="0.25">
      <c r="A568">
        <v>1036</v>
      </c>
      <c r="B568">
        <v>44</v>
      </c>
      <c r="C568" t="s">
        <v>1129</v>
      </c>
      <c r="D568" t="s">
        <v>1152</v>
      </c>
      <c r="E568" t="s">
        <v>28</v>
      </c>
      <c r="F568" s="3">
        <v>45774</v>
      </c>
      <c r="G568" s="1">
        <f>YEAR(Patient_data[[#This Row],[Appointment_Date]])</f>
        <v>2025</v>
      </c>
      <c r="H568" s="2" t="str">
        <f>TEXT(Patient_data[[#This Row],[Appointment_Date]],"mmmm")</f>
        <v>April</v>
      </c>
      <c r="I568" s="3" t="str">
        <f>TEXT(Patient_data[[#This Row],[Appointment_Date]],"mmm-yyyy")</f>
        <v>Apr-2025</v>
      </c>
      <c r="J568" s="3">
        <v>45639</v>
      </c>
      <c r="K568" t="s">
        <v>1153</v>
      </c>
      <c r="L568" t="s">
        <v>43</v>
      </c>
      <c r="M568" s="4">
        <v>63</v>
      </c>
      <c r="N568" t="s">
        <v>24</v>
      </c>
      <c r="O568">
        <f>Patient_data[[#This Row],[Appointment_Date]]-Patient_data[[#This Row],[Booking_Date]]</f>
        <v>135</v>
      </c>
    </row>
    <row r="569" spans="1:15" x14ac:dyDescent="0.25">
      <c r="A569">
        <v>1015</v>
      </c>
      <c r="B569">
        <v>43</v>
      </c>
      <c r="C569" t="s">
        <v>1129</v>
      </c>
      <c r="D569" t="s">
        <v>1154</v>
      </c>
      <c r="E569" t="s">
        <v>17</v>
      </c>
      <c r="F569" s="3">
        <v>45987</v>
      </c>
      <c r="G569" s="1">
        <f>YEAR(Patient_data[[#This Row],[Appointment_Date]])</f>
        <v>2025</v>
      </c>
      <c r="H569" s="2" t="str">
        <f>TEXT(Patient_data[[#This Row],[Appointment_Date]],"mmmm")</f>
        <v>November</v>
      </c>
      <c r="I569" s="3" t="str">
        <f>TEXT(Patient_data[[#This Row],[Appointment_Date]],"mmm-yyyy")</f>
        <v>Nov-2025</v>
      </c>
      <c r="J569" s="3">
        <v>45894</v>
      </c>
      <c r="K569" t="s">
        <v>1155</v>
      </c>
      <c r="L569" t="s">
        <v>19</v>
      </c>
      <c r="M569" s="4">
        <v>425.67</v>
      </c>
      <c r="N569" t="s">
        <v>24</v>
      </c>
      <c r="O569">
        <f>Patient_data[[#This Row],[Appointment_Date]]-Patient_data[[#This Row],[Booking_Date]]</f>
        <v>93</v>
      </c>
    </row>
    <row r="570" spans="1:15" x14ac:dyDescent="0.25">
      <c r="A570">
        <v>1032</v>
      </c>
      <c r="B570">
        <v>43</v>
      </c>
      <c r="C570" t="s">
        <v>1129</v>
      </c>
      <c r="D570" t="s">
        <v>1156</v>
      </c>
      <c r="E570" t="s">
        <v>28</v>
      </c>
      <c r="F570" s="3">
        <v>45830</v>
      </c>
      <c r="G570" s="1">
        <f>YEAR(Patient_data[[#This Row],[Appointment_Date]])</f>
        <v>2025</v>
      </c>
      <c r="H570" s="2" t="str">
        <f>TEXT(Patient_data[[#This Row],[Appointment_Date]],"mmmm")</f>
        <v>June</v>
      </c>
      <c r="I570" s="3" t="str">
        <f>TEXT(Patient_data[[#This Row],[Appointment_Date]],"mmm-yyyy")</f>
        <v>Jun-2025</v>
      </c>
      <c r="J570" s="3">
        <v>45682</v>
      </c>
      <c r="K570" t="s">
        <v>1157</v>
      </c>
      <c r="L570" t="s">
        <v>19</v>
      </c>
      <c r="M570" s="4">
        <v>55.67</v>
      </c>
      <c r="N570" t="s">
        <v>20</v>
      </c>
      <c r="O570">
        <f>Patient_data[[#This Row],[Appointment_Date]]-Patient_data[[#This Row],[Booking_Date]]</f>
        <v>148</v>
      </c>
    </row>
    <row r="571" spans="1:15" x14ac:dyDescent="0.25">
      <c r="A571">
        <v>1029</v>
      </c>
      <c r="B571">
        <v>43</v>
      </c>
      <c r="C571" t="s">
        <v>1129</v>
      </c>
      <c r="D571" t="s">
        <v>1158</v>
      </c>
      <c r="E571" t="s">
        <v>28</v>
      </c>
      <c r="F571" s="3">
        <v>45925</v>
      </c>
      <c r="G571" s="1">
        <f>YEAR(Patient_data[[#This Row],[Appointment_Date]])</f>
        <v>2025</v>
      </c>
      <c r="H571" s="2" t="str">
        <f>TEXT(Patient_data[[#This Row],[Appointment_Date]],"mmmm")</f>
        <v>September</v>
      </c>
      <c r="I571" s="3" t="str">
        <f>TEXT(Patient_data[[#This Row],[Appointment_Date]],"mmm-yyyy")</f>
        <v>Sep-2025</v>
      </c>
      <c r="J571" s="3">
        <v>45595</v>
      </c>
      <c r="K571" t="s">
        <v>1159</v>
      </c>
      <c r="L571" t="s">
        <v>30</v>
      </c>
      <c r="M571" s="4">
        <v>82.81</v>
      </c>
      <c r="N571" t="s">
        <v>24</v>
      </c>
      <c r="O571">
        <f>Patient_data[[#This Row],[Appointment_Date]]-Patient_data[[#This Row],[Booking_Date]]</f>
        <v>330</v>
      </c>
    </row>
    <row r="572" spans="1:15" x14ac:dyDescent="0.25">
      <c r="A572">
        <v>1021</v>
      </c>
      <c r="B572">
        <v>43</v>
      </c>
      <c r="C572" t="s">
        <v>1129</v>
      </c>
      <c r="D572" t="s">
        <v>1160</v>
      </c>
      <c r="E572" t="s">
        <v>28</v>
      </c>
      <c r="F572" s="3">
        <v>45772</v>
      </c>
      <c r="G572" s="1">
        <f>YEAR(Patient_data[[#This Row],[Appointment_Date]])</f>
        <v>2025</v>
      </c>
      <c r="H572" s="2" t="str">
        <f>TEXT(Patient_data[[#This Row],[Appointment_Date]],"mmmm")</f>
        <v>April</v>
      </c>
      <c r="I572" s="3" t="str">
        <f>TEXT(Patient_data[[#This Row],[Appointment_Date]],"mmm-yyyy")</f>
        <v>Apr-2025</v>
      </c>
      <c r="J572" s="3">
        <v>45748</v>
      </c>
      <c r="K572" t="s">
        <v>1161</v>
      </c>
      <c r="L572" t="s">
        <v>19</v>
      </c>
      <c r="M572" s="4">
        <v>186.4</v>
      </c>
      <c r="N572" t="s">
        <v>20</v>
      </c>
      <c r="O572">
        <f>Patient_data[[#This Row],[Appointment_Date]]-Patient_data[[#This Row],[Booking_Date]]</f>
        <v>24</v>
      </c>
    </row>
    <row r="573" spans="1:15" x14ac:dyDescent="0.25">
      <c r="A573">
        <v>1017</v>
      </c>
      <c r="B573">
        <v>43</v>
      </c>
      <c r="C573" t="s">
        <v>1129</v>
      </c>
      <c r="D573" t="s">
        <v>1162</v>
      </c>
      <c r="E573" t="s">
        <v>17</v>
      </c>
      <c r="F573" s="3">
        <v>45795</v>
      </c>
      <c r="G573" s="1">
        <f>YEAR(Patient_data[[#This Row],[Appointment_Date]])</f>
        <v>2025</v>
      </c>
      <c r="H573" s="2" t="str">
        <f>TEXT(Patient_data[[#This Row],[Appointment_Date]],"mmmm")</f>
        <v>May</v>
      </c>
      <c r="I573" s="3" t="str">
        <f>TEXT(Patient_data[[#This Row],[Appointment_Date]],"mmm-yyyy")</f>
        <v>May-2025</v>
      </c>
      <c r="J573" s="3">
        <v>45495</v>
      </c>
      <c r="K573" t="s">
        <v>1163</v>
      </c>
      <c r="L573" t="s">
        <v>43</v>
      </c>
      <c r="M573" s="4">
        <v>5.19</v>
      </c>
      <c r="N573" t="s">
        <v>20</v>
      </c>
      <c r="O573">
        <f>Patient_data[[#This Row],[Appointment_Date]]-Patient_data[[#This Row],[Booking_Date]]</f>
        <v>300</v>
      </c>
    </row>
    <row r="574" spans="1:15" x14ac:dyDescent="0.25">
      <c r="A574">
        <v>1031</v>
      </c>
      <c r="B574">
        <v>43</v>
      </c>
      <c r="C574" t="s">
        <v>1129</v>
      </c>
      <c r="D574" t="s">
        <v>1164</v>
      </c>
      <c r="E574" t="s">
        <v>17</v>
      </c>
      <c r="F574" s="3">
        <v>45896</v>
      </c>
      <c r="G574" s="1">
        <f>YEAR(Patient_data[[#This Row],[Appointment_Date]])</f>
        <v>2025</v>
      </c>
      <c r="H574" s="2" t="str">
        <f>TEXT(Patient_data[[#This Row],[Appointment_Date]],"mmmm")</f>
        <v>August</v>
      </c>
      <c r="I574" s="3" t="str">
        <f>TEXT(Patient_data[[#This Row],[Appointment_Date]],"mmm-yyyy")</f>
        <v>Aug-2025</v>
      </c>
      <c r="J574" s="3">
        <v>45423</v>
      </c>
      <c r="K574" t="s">
        <v>1165</v>
      </c>
      <c r="L574" t="s">
        <v>19</v>
      </c>
      <c r="M574" s="4">
        <v>63.1</v>
      </c>
      <c r="N574" t="s">
        <v>24</v>
      </c>
      <c r="O574">
        <f>Patient_data[[#This Row],[Appointment_Date]]-Patient_data[[#This Row],[Booking_Date]]</f>
        <v>473</v>
      </c>
    </row>
    <row r="575" spans="1:15" x14ac:dyDescent="0.25">
      <c r="A575">
        <v>1075</v>
      </c>
      <c r="B575">
        <v>43</v>
      </c>
      <c r="C575" t="s">
        <v>1129</v>
      </c>
      <c r="D575" t="s">
        <v>1166</v>
      </c>
      <c r="E575" t="s">
        <v>28</v>
      </c>
      <c r="F575" s="3">
        <v>46005</v>
      </c>
      <c r="G575" s="1">
        <f>YEAR(Patient_data[[#This Row],[Appointment_Date]])</f>
        <v>2025</v>
      </c>
      <c r="H575" s="2" t="str">
        <f>TEXT(Patient_data[[#This Row],[Appointment_Date]],"mmmm")</f>
        <v>December</v>
      </c>
      <c r="I575" s="3" t="str">
        <f>TEXT(Patient_data[[#This Row],[Appointment_Date]],"mmm-yyyy")</f>
        <v>Dec-2025</v>
      </c>
      <c r="J575" s="3">
        <v>45716</v>
      </c>
      <c r="K575" t="s">
        <v>1167</v>
      </c>
      <c r="L575" t="s">
        <v>19</v>
      </c>
      <c r="M575" s="4">
        <v>58.79</v>
      </c>
      <c r="N575" t="s">
        <v>24</v>
      </c>
      <c r="O575">
        <f>Patient_data[[#This Row],[Appointment_Date]]-Patient_data[[#This Row],[Booking_Date]]</f>
        <v>289</v>
      </c>
    </row>
    <row r="576" spans="1:15" x14ac:dyDescent="0.25">
      <c r="A576">
        <v>1044</v>
      </c>
      <c r="B576">
        <v>43</v>
      </c>
      <c r="C576" t="s">
        <v>1129</v>
      </c>
      <c r="D576" t="s">
        <v>1168</v>
      </c>
      <c r="E576" t="s">
        <v>17</v>
      </c>
      <c r="F576" s="3">
        <v>45749</v>
      </c>
      <c r="G576" s="1">
        <f>YEAR(Patient_data[[#This Row],[Appointment_Date]])</f>
        <v>2025</v>
      </c>
      <c r="H576" s="2" t="str">
        <f>TEXT(Patient_data[[#This Row],[Appointment_Date]],"mmmm")</f>
        <v>April</v>
      </c>
      <c r="I576" s="3" t="str">
        <f>TEXT(Patient_data[[#This Row],[Appointment_Date]],"mmm-yyyy")</f>
        <v>Apr-2025</v>
      </c>
      <c r="J576" s="3">
        <v>45481</v>
      </c>
      <c r="K576" t="s">
        <v>1169</v>
      </c>
      <c r="L576" t="s">
        <v>23</v>
      </c>
      <c r="M576" s="4">
        <v>352.94</v>
      </c>
      <c r="N576" t="s">
        <v>20</v>
      </c>
      <c r="O576">
        <f>Patient_data[[#This Row],[Appointment_Date]]-Patient_data[[#This Row],[Booking_Date]]</f>
        <v>268</v>
      </c>
    </row>
    <row r="577" spans="1:15" x14ac:dyDescent="0.25">
      <c r="A577">
        <v>1041</v>
      </c>
      <c r="B577">
        <v>43</v>
      </c>
      <c r="C577" t="s">
        <v>1129</v>
      </c>
      <c r="D577" t="s">
        <v>1170</v>
      </c>
      <c r="E577" t="s">
        <v>17</v>
      </c>
      <c r="F577" s="3">
        <v>45917</v>
      </c>
      <c r="G577" s="1">
        <f>YEAR(Patient_data[[#This Row],[Appointment_Date]])</f>
        <v>2025</v>
      </c>
      <c r="H577" s="2" t="str">
        <f>TEXT(Patient_data[[#This Row],[Appointment_Date]],"mmmm")</f>
        <v>September</v>
      </c>
      <c r="I577" s="3" t="str">
        <f>TEXT(Patient_data[[#This Row],[Appointment_Date]],"mmm-yyyy")</f>
        <v>Sep-2025</v>
      </c>
      <c r="J577" s="3">
        <v>45421</v>
      </c>
      <c r="K577" t="s">
        <v>1171</v>
      </c>
      <c r="L577" t="s">
        <v>43</v>
      </c>
      <c r="M577" s="4">
        <v>85.93</v>
      </c>
      <c r="N577" t="s">
        <v>20</v>
      </c>
      <c r="O577">
        <f>Patient_data[[#This Row],[Appointment_Date]]-Patient_data[[#This Row],[Booking_Date]]</f>
        <v>496</v>
      </c>
    </row>
    <row r="578" spans="1:15" x14ac:dyDescent="0.25">
      <c r="A578">
        <v>1028</v>
      </c>
      <c r="B578">
        <v>43</v>
      </c>
      <c r="C578" t="s">
        <v>1129</v>
      </c>
      <c r="D578" t="s">
        <v>1172</v>
      </c>
      <c r="E578" t="s">
        <v>17</v>
      </c>
      <c r="F578" s="3">
        <v>45841</v>
      </c>
      <c r="G578" s="1">
        <f>YEAR(Patient_data[[#This Row],[Appointment_Date]])</f>
        <v>2025</v>
      </c>
      <c r="H578" s="2" t="str">
        <f>TEXT(Patient_data[[#This Row],[Appointment_Date]],"mmmm")</f>
        <v>July</v>
      </c>
      <c r="I578" s="3" t="str">
        <f>TEXT(Patient_data[[#This Row],[Appointment_Date]],"mmm-yyyy")</f>
        <v>Jul-2025</v>
      </c>
      <c r="J578" s="3">
        <v>45428</v>
      </c>
      <c r="K578" t="s">
        <v>1173</v>
      </c>
      <c r="L578" t="s">
        <v>19</v>
      </c>
      <c r="M578" s="4">
        <v>187.7</v>
      </c>
      <c r="N578" t="s">
        <v>24</v>
      </c>
      <c r="O578">
        <f>Patient_data[[#This Row],[Appointment_Date]]-Patient_data[[#This Row],[Booking_Date]]</f>
        <v>413</v>
      </c>
    </row>
    <row r="579" spans="1:15" x14ac:dyDescent="0.25">
      <c r="A579">
        <v>1075</v>
      </c>
      <c r="B579">
        <v>43</v>
      </c>
      <c r="C579" t="s">
        <v>1129</v>
      </c>
      <c r="D579" t="s">
        <v>1174</v>
      </c>
      <c r="E579" t="s">
        <v>17</v>
      </c>
      <c r="F579" s="3">
        <v>46034</v>
      </c>
      <c r="G579" s="1">
        <f>YEAR(Patient_data[[#This Row],[Appointment_Date]])</f>
        <v>2026</v>
      </c>
      <c r="H579" s="2" t="str">
        <f>TEXT(Patient_data[[#This Row],[Appointment_Date]],"mmmm")</f>
        <v>January</v>
      </c>
      <c r="I579" s="3" t="str">
        <f>TEXT(Patient_data[[#This Row],[Appointment_Date]],"mmm-yyyy")</f>
        <v>Jan-2026</v>
      </c>
      <c r="J579" s="3">
        <v>45960</v>
      </c>
      <c r="K579" t="s">
        <v>1175</v>
      </c>
      <c r="L579" t="s">
        <v>23</v>
      </c>
      <c r="M579" s="4">
        <v>76.760000000000005</v>
      </c>
      <c r="N579" t="s">
        <v>24</v>
      </c>
      <c r="O579">
        <f>Patient_data[[#This Row],[Appointment_Date]]-Patient_data[[#This Row],[Booking_Date]]</f>
        <v>74</v>
      </c>
    </row>
    <row r="580" spans="1:15" x14ac:dyDescent="0.25">
      <c r="A580">
        <v>1002</v>
      </c>
      <c r="B580">
        <v>42</v>
      </c>
      <c r="C580" t="s">
        <v>1129</v>
      </c>
      <c r="D580" t="s">
        <v>1176</v>
      </c>
      <c r="E580" t="s">
        <v>17</v>
      </c>
      <c r="F580" s="3">
        <v>45944</v>
      </c>
      <c r="G580" s="1">
        <f>YEAR(Patient_data[[#This Row],[Appointment_Date]])</f>
        <v>2025</v>
      </c>
      <c r="H580" s="2" t="str">
        <f>TEXT(Patient_data[[#This Row],[Appointment_Date]],"mmmm")</f>
        <v>October</v>
      </c>
      <c r="I580" s="3" t="str">
        <f>TEXT(Patient_data[[#This Row],[Appointment_Date]],"mmm-yyyy")</f>
        <v>Oct-2025</v>
      </c>
      <c r="J580" s="3">
        <v>45600</v>
      </c>
      <c r="K580" t="s">
        <v>1177</v>
      </c>
      <c r="L580" t="s">
        <v>19</v>
      </c>
      <c r="M580" s="4">
        <v>342.38</v>
      </c>
      <c r="N580" t="s">
        <v>20</v>
      </c>
      <c r="O580">
        <f>Patient_data[[#This Row],[Appointment_Date]]-Patient_data[[#This Row],[Booking_Date]]</f>
        <v>344</v>
      </c>
    </row>
    <row r="581" spans="1:15" x14ac:dyDescent="0.25">
      <c r="A581">
        <v>1096</v>
      </c>
      <c r="B581">
        <v>42</v>
      </c>
      <c r="C581" t="s">
        <v>1129</v>
      </c>
      <c r="D581" t="s">
        <v>1178</v>
      </c>
      <c r="E581" t="s">
        <v>17</v>
      </c>
      <c r="F581" s="3">
        <v>45881</v>
      </c>
      <c r="G581" s="1">
        <f>YEAR(Patient_data[[#This Row],[Appointment_Date]])</f>
        <v>2025</v>
      </c>
      <c r="H581" s="2" t="str">
        <f>TEXT(Patient_data[[#This Row],[Appointment_Date]],"mmmm")</f>
        <v>August</v>
      </c>
      <c r="I581" s="3" t="str">
        <f>TEXT(Patient_data[[#This Row],[Appointment_Date]],"mmm-yyyy")</f>
        <v>Aug-2025</v>
      </c>
      <c r="J581" s="3">
        <v>45543</v>
      </c>
      <c r="K581" t="s">
        <v>1179</v>
      </c>
      <c r="L581" t="s">
        <v>19</v>
      </c>
      <c r="M581" s="4">
        <v>50.94</v>
      </c>
      <c r="N581" t="s">
        <v>20</v>
      </c>
      <c r="O581">
        <f>Patient_data[[#This Row],[Appointment_Date]]-Patient_data[[#This Row],[Booking_Date]]</f>
        <v>338</v>
      </c>
    </row>
    <row r="582" spans="1:15" x14ac:dyDescent="0.25">
      <c r="A582">
        <v>1031</v>
      </c>
      <c r="B582">
        <v>42</v>
      </c>
      <c r="C582" t="s">
        <v>1129</v>
      </c>
      <c r="D582" t="s">
        <v>1180</v>
      </c>
      <c r="E582" t="s">
        <v>28</v>
      </c>
      <c r="F582" s="3">
        <v>45874</v>
      </c>
      <c r="G582" s="1">
        <f>YEAR(Patient_data[[#This Row],[Appointment_Date]])</f>
        <v>2025</v>
      </c>
      <c r="H582" s="2" t="str">
        <f>TEXT(Patient_data[[#This Row],[Appointment_Date]],"mmmm")</f>
        <v>August</v>
      </c>
      <c r="I582" s="3" t="str">
        <f>TEXT(Patient_data[[#This Row],[Appointment_Date]],"mmm-yyyy")</f>
        <v>Aug-2025</v>
      </c>
      <c r="J582" s="3">
        <v>45865</v>
      </c>
      <c r="K582" t="s">
        <v>1181</v>
      </c>
      <c r="L582" t="s">
        <v>43</v>
      </c>
      <c r="M582" s="4">
        <v>132.57</v>
      </c>
      <c r="N582" t="s">
        <v>20</v>
      </c>
      <c r="O582">
        <f>Patient_data[[#This Row],[Appointment_Date]]-Patient_data[[#This Row],[Booking_Date]]</f>
        <v>9</v>
      </c>
    </row>
    <row r="583" spans="1:15" x14ac:dyDescent="0.25">
      <c r="A583">
        <v>1026</v>
      </c>
      <c r="B583">
        <v>42</v>
      </c>
      <c r="C583" t="s">
        <v>1129</v>
      </c>
      <c r="D583" t="s">
        <v>1182</v>
      </c>
      <c r="E583" t="s">
        <v>28</v>
      </c>
      <c r="F583" s="3">
        <v>46047</v>
      </c>
      <c r="G583" s="1">
        <f>YEAR(Patient_data[[#This Row],[Appointment_Date]])</f>
        <v>2026</v>
      </c>
      <c r="H583" s="2" t="str">
        <f>TEXT(Patient_data[[#This Row],[Appointment_Date]],"mmmm")</f>
        <v>January</v>
      </c>
      <c r="I583" s="3" t="str">
        <f>TEXT(Patient_data[[#This Row],[Appointment_Date]],"mmm-yyyy")</f>
        <v>Jan-2026</v>
      </c>
      <c r="J583" s="3">
        <v>45635</v>
      </c>
      <c r="K583" t="s">
        <v>1183</v>
      </c>
      <c r="L583" t="s">
        <v>23</v>
      </c>
      <c r="M583" s="4">
        <v>56.9</v>
      </c>
      <c r="N583" t="s">
        <v>20</v>
      </c>
      <c r="O583">
        <f>Patient_data[[#This Row],[Appointment_Date]]-Patient_data[[#This Row],[Booking_Date]]</f>
        <v>412</v>
      </c>
    </row>
    <row r="584" spans="1:15" x14ac:dyDescent="0.25">
      <c r="A584">
        <v>1092</v>
      </c>
      <c r="B584">
        <v>42</v>
      </c>
      <c r="C584" t="s">
        <v>1129</v>
      </c>
      <c r="D584" t="s">
        <v>1184</v>
      </c>
      <c r="E584" t="s">
        <v>17</v>
      </c>
      <c r="F584" s="3">
        <v>45767</v>
      </c>
      <c r="G584" s="1">
        <f>YEAR(Patient_data[[#This Row],[Appointment_Date]])</f>
        <v>2025</v>
      </c>
      <c r="H584" s="2" t="str">
        <f>TEXT(Patient_data[[#This Row],[Appointment_Date]],"mmmm")</f>
        <v>April</v>
      </c>
      <c r="I584" s="3" t="str">
        <f>TEXT(Patient_data[[#This Row],[Appointment_Date]],"mmm-yyyy")</f>
        <v>Apr-2025</v>
      </c>
      <c r="J584" s="3">
        <v>45574</v>
      </c>
      <c r="K584" t="s">
        <v>1185</v>
      </c>
      <c r="L584" t="s">
        <v>30</v>
      </c>
      <c r="M584" s="4">
        <v>43.13</v>
      </c>
      <c r="N584" t="s">
        <v>24</v>
      </c>
      <c r="O584">
        <f>Patient_data[[#This Row],[Appointment_Date]]-Patient_data[[#This Row],[Booking_Date]]</f>
        <v>193</v>
      </c>
    </row>
    <row r="585" spans="1:15" x14ac:dyDescent="0.25">
      <c r="A585">
        <v>1081</v>
      </c>
      <c r="B585">
        <v>42</v>
      </c>
      <c r="C585" t="s">
        <v>1129</v>
      </c>
      <c r="D585" t="s">
        <v>1186</v>
      </c>
      <c r="E585" t="s">
        <v>28</v>
      </c>
      <c r="F585" s="3">
        <v>46096</v>
      </c>
      <c r="G585" s="1">
        <f>YEAR(Patient_data[[#This Row],[Appointment_Date]])</f>
        <v>2026</v>
      </c>
      <c r="H585" s="2" t="str">
        <f>TEXT(Patient_data[[#This Row],[Appointment_Date]],"mmmm")</f>
        <v>March</v>
      </c>
      <c r="I585" s="3" t="str">
        <f>TEXT(Patient_data[[#This Row],[Appointment_Date]],"mmm-yyyy")</f>
        <v>Mar-2026</v>
      </c>
      <c r="J585" s="3">
        <v>45435</v>
      </c>
      <c r="K585" t="s">
        <v>1187</v>
      </c>
      <c r="L585" t="s">
        <v>30</v>
      </c>
      <c r="M585" s="4">
        <v>189.02</v>
      </c>
      <c r="N585" t="s">
        <v>24</v>
      </c>
      <c r="O585">
        <f>Patient_data[[#This Row],[Appointment_Date]]-Patient_data[[#This Row],[Booking_Date]]</f>
        <v>661</v>
      </c>
    </row>
    <row r="586" spans="1:15" x14ac:dyDescent="0.25">
      <c r="A586">
        <v>1084</v>
      </c>
      <c r="B586">
        <v>42</v>
      </c>
      <c r="C586" t="s">
        <v>1129</v>
      </c>
      <c r="D586" t="s">
        <v>1188</v>
      </c>
      <c r="E586" t="s">
        <v>28</v>
      </c>
      <c r="F586" s="3">
        <v>45796</v>
      </c>
      <c r="G586" s="1">
        <f>YEAR(Patient_data[[#This Row],[Appointment_Date]])</f>
        <v>2025</v>
      </c>
      <c r="H586" s="2" t="str">
        <f>TEXT(Patient_data[[#This Row],[Appointment_Date]],"mmmm")</f>
        <v>May</v>
      </c>
      <c r="I586" s="3" t="str">
        <f>TEXT(Patient_data[[#This Row],[Appointment_Date]],"mmm-yyyy")</f>
        <v>May-2025</v>
      </c>
      <c r="J586" s="3">
        <v>45603</v>
      </c>
      <c r="K586" t="s">
        <v>1189</v>
      </c>
      <c r="L586" t="s">
        <v>23</v>
      </c>
      <c r="M586" s="4">
        <v>268.93</v>
      </c>
      <c r="N586" t="s">
        <v>20</v>
      </c>
      <c r="O586">
        <f>Patient_data[[#This Row],[Appointment_Date]]-Patient_data[[#This Row],[Booking_Date]]</f>
        <v>193</v>
      </c>
    </row>
    <row r="587" spans="1:15" x14ac:dyDescent="0.25">
      <c r="A587">
        <v>1030</v>
      </c>
      <c r="B587">
        <v>42</v>
      </c>
      <c r="C587" t="s">
        <v>1129</v>
      </c>
      <c r="D587" t="s">
        <v>1190</v>
      </c>
      <c r="E587" t="s">
        <v>17</v>
      </c>
      <c r="F587" s="3">
        <v>45954</v>
      </c>
      <c r="G587" s="1">
        <f>YEAR(Patient_data[[#This Row],[Appointment_Date]])</f>
        <v>2025</v>
      </c>
      <c r="H587" s="2" t="str">
        <f>TEXT(Patient_data[[#This Row],[Appointment_Date]],"mmmm")</f>
        <v>October</v>
      </c>
      <c r="I587" s="3" t="str">
        <f>TEXT(Patient_data[[#This Row],[Appointment_Date]],"mmm-yyyy")</f>
        <v>Oct-2025</v>
      </c>
      <c r="J587" s="3">
        <v>45623</v>
      </c>
      <c r="K587" t="s">
        <v>1191</v>
      </c>
      <c r="L587" t="s">
        <v>19</v>
      </c>
      <c r="M587" s="4">
        <v>58.9</v>
      </c>
      <c r="N587" t="s">
        <v>24</v>
      </c>
      <c r="O587">
        <f>Patient_data[[#This Row],[Appointment_Date]]-Patient_data[[#This Row],[Booking_Date]]</f>
        <v>331</v>
      </c>
    </row>
    <row r="588" spans="1:15" x14ac:dyDescent="0.25">
      <c r="A588">
        <v>1097</v>
      </c>
      <c r="B588">
        <v>42</v>
      </c>
      <c r="C588" t="s">
        <v>1129</v>
      </c>
      <c r="D588" t="s">
        <v>1192</v>
      </c>
      <c r="E588" t="s">
        <v>28</v>
      </c>
      <c r="F588" s="3">
        <v>46054</v>
      </c>
      <c r="G588" s="1">
        <f>YEAR(Patient_data[[#This Row],[Appointment_Date]])</f>
        <v>2026</v>
      </c>
      <c r="H588" s="2" t="str">
        <f>TEXT(Patient_data[[#This Row],[Appointment_Date]],"mmmm")</f>
        <v>February</v>
      </c>
      <c r="I588" s="3" t="str">
        <f>TEXT(Patient_data[[#This Row],[Appointment_Date]],"mmm-yyyy")</f>
        <v>Feb-2026</v>
      </c>
      <c r="J588" s="3">
        <v>46022</v>
      </c>
      <c r="K588" t="s">
        <v>1193</v>
      </c>
      <c r="L588" t="s">
        <v>19</v>
      </c>
      <c r="M588" s="4">
        <v>3.97</v>
      </c>
      <c r="N588" t="s">
        <v>20</v>
      </c>
      <c r="O588">
        <f>Patient_data[[#This Row],[Appointment_Date]]-Patient_data[[#This Row],[Booking_Date]]</f>
        <v>32</v>
      </c>
    </row>
    <row r="589" spans="1:15" x14ac:dyDescent="0.25">
      <c r="A589">
        <v>1068</v>
      </c>
      <c r="B589">
        <v>42</v>
      </c>
      <c r="C589" t="s">
        <v>1129</v>
      </c>
      <c r="D589" t="s">
        <v>1194</v>
      </c>
      <c r="E589" t="s">
        <v>17</v>
      </c>
      <c r="F589" s="3">
        <v>45951</v>
      </c>
      <c r="G589" s="1">
        <f>YEAR(Patient_data[[#This Row],[Appointment_Date]])</f>
        <v>2025</v>
      </c>
      <c r="H589" s="2" t="str">
        <f>TEXT(Patient_data[[#This Row],[Appointment_Date]],"mmmm")</f>
        <v>October</v>
      </c>
      <c r="I589" s="3" t="str">
        <f>TEXT(Patient_data[[#This Row],[Appointment_Date]],"mmm-yyyy")</f>
        <v>Oct-2025</v>
      </c>
      <c r="J589" s="3">
        <v>45747</v>
      </c>
      <c r="K589" t="s">
        <v>1195</v>
      </c>
      <c r="L589" t="s">
        <v>19</v>
      </c>
      <c r="M589" s="4">
        <v>63.3</v>
      </c>
      <c r="N589" t="s">
        <v>24</v>
      </c>
      <c r="O589">
        <f>Patient_data[[#This Row],[Appointment_Date]]-Patient_data[[#This Row],[Booking_Date]]</f>
        <v>204</v>
      </c>
    </row>
    <row r="590" spans="1:15" x14ac:dyDescent="0.25">
      <c r="A590">
        <v>1003</v>
      </c>
      <c r="B590">
        <v>41</v>
      </c>
      <c r="C590" t="s">
        <v>1129</v>
      </c>
      <c r="D590" t="s">
        <v>1196</v>
      </c>
      <c r="E590" t="s">
        <v>17</v>
      </c>
      <c r="F590" s="3">
        <v>45791</v>
      </c>
      <c r="G590" s="1">
        <f>YEAR(Patient_data[[#This Row],[Appointment_Date]])</f>
        <v>2025</v>
      </c>
      <c r="H590" s="2" t="str">
        <f>TEXT(Patient_data[[#This Row],[Appointment_Date]],"mmmm")</f>
        <v>May</v>
      </c>
      <c r="I590" s="3" t="str">
        <f>TEXT(Patient_data[[#This Row],[Appointment_Date]],"mmm-yyyy")</f>
        <v>May-2025</v>
      </c>
      <c r="J590" s="3">
        <v>45387</v>
      </c>
      <c r="K590" t="s">
        <v>1197</v>
      </c>
      <c r="L590" t="s">
        <v>23</v>
      </c>
      <c r="M590" s="4">
        <v>398.73</v>
      </c>
      <c r="N590" t="s">
        <v>20</v>
      </c>
      <c r="O590">
        <f>Patient_data[[#This Row],[Appointment_Date]]-Patient_data[[#This Row],[Booking_Date]]</f>
        <v>404</v>
      </c>
    </row>
    <row r="591" spans="1:15" x14ac:dyDescent="0.25">
      <c r="A591">
        <v>1036</v>
      </c>
      <c r="B591">
        <v>41</v>
      </c>
      <c r="C591" t="s">
        <v>1129</v>
      </c>
      <c r="D591" t="s">
        <v>1198</v>
      </c>
      <c r="E591" t="s">
        <v>17</v>
      </c>
      <c r="F591" s="3">
        <v>45837</v>
      </c>
      <c r="G591" s="1">
        <f>YEAR(Patient_data[[#This Row],[Appointment_Date]])</f>
        <v>2025</v>
      </c>
      <c r="H591" s="2" t="str">
        <f>TEXT(Patient_data[[#This Row],[Appointment_Date]],"mmmm")</f>
        <v>June</v>
      </c>
      <c r="I591" s="3" t="str">
        <f>TEXT(Patient_data[[#This Row],[Appointment_Date]],"mmm-yyyy")</f>
        <v>Jun-2025</v>
      </c>
      <c r="J591" s="3">
        <v>45556</v>
      </c>
      <c r="K591" t="s">
        <v>1199</v>
      </c>
      <c r="L591" t="s">
        <v>30</v>
      </c>
      <c r="M591" s="4">
        <v>86.71</v>
      </c>
      <c r="N591" t="s">
        <v>20</v>
      </c>
      <c r="O591">
        <f>Patient_data[[#This Row],[Appointment_Date]]-Patient_data[[#This Row],[Booking_Date]]</f>
        <v>281</v>
      </c>
    </row>
    <row r="592" spans="1:15" x14ac:dyDescent="0.25">
      <c r="A592">
        <v>1019</v>
      </c>
      <c r="B592">
        <v>41</v>
      </c>
      <c r="C592" t="s">
        <v>1129</v>
      </c>
      <c r="D592" t="s">
        <v>1200</v>
      </c>
      <c r="E592" t="s">
        <v>17</v>
      </c>
      <c r="F592" s="3">
        <v>45961</v>
      </c>
      <c r="G592" s="1">
        <f>YEAR(Patient_data[[#This Row],[Appointment_Date]])</f>
        <v>2025</v>
      </c>
      <c r="H592" s="2" t="str">
        <f>TEXT(Patient_data[[#This Row],[Appointment_Date]],"mmmm")</f>
        <v>October</v>
      </c>
      <c r="I592" s="3" t="str">
        <f>TEXT(Patient_data[[#This Row],[Appointment_Date]],"mmm-yyyy")</f>
        <v>Oct-2025</v>
      </c>
      <c r="J592" s="3">
        <v>45483</v>
      </c>
      <c r="K592" t="s">
        <v>1201</v>
      </c>
      <c r="L592" t="s">
        <v>19</v>
      </c>
      <c r="M592" s="4">
        <v>36.58</v>
      </c>
      <c r="N592" t="s">
        <v>20</v>
      </c>
      <c r="O592">
        <f>Patient_data[[#This Row],[Appointment_Date]]-Patient_data[[#This Row],[Booking_Date]]</f>
        <v>478</v>
      </c>
    </row>
    <row r="593" spans="1:15" x14ac:dyDescent="0.25">
      <c r="A593">
        <v>1021</v>
      </c>
      <c r="B593">
        <v>41</v>
      </c>
      <c r="C593" t="s">
        <v>1129</v>
      </c>
      <c r="D593" t="s">
        <v>1202</v>
      </c>
      <c r="E593" t="s">
        <v>17</v>
      </c>
      <c r="F593" s="3">
        <v>45911</v>
      </c>
      <c r="G593" s="1">
        <f>YEAR(Patient_data[[#This Row],[Appointment_Date]])</f>
        <v>2025</v>
      </c>
      <c r="H593" s="2" t="str">
        <f>TEXT(Patient_data[[#This Row],[Appointment_Date]],"mmmm")</f>
        <v>September</v>
      </c>
      <c r="I593" s="3" t="str">
        <f>TEXT(Patient_data[[#This Row],[Appointment_Date]],"mmm-yyyy")</f>
        <v>Sep-2025</v>
      </c>
      <c r="J593" s="3">
        <v>45626</v>
      </c>
      <c r="K593" t="s">
        <v>1203</v>
      </c>
      <c r="L593" t="s">
        <v>23</v>
      </c>
      <c r="M593" s="4">
        <v>73.2</v>
      </c>
      <c r="N593" t="s">
        <v>20</v>
      </c>
      <c r="O593">
        <f>Patient_data[[#This Row],[Appointment_Date]]-Patient_data[[#This Row],[Booking_Date]]</f>
        <v>285</v>
      </c>
    </row>
    <row r="594" spans="1:15" x14ac:dyDescent="0.25">
      <c r="A594">
        <v>1034</v>
      </c>
      <c r="B594">
        <v>41</v>
      </c>
      <c r="C594" t="s">
        <v>1129</v>
      </c>
      <c r="D594" t="s">
        <v>1204</v>
      </c>
      <c r="E594" t="s">
        <v>17</v>
      </c>
      <c r="F594" s="3">
        <v>46056</v>
      </c>
      <c r="G594" s="1">
        <f>YEAR(Patient_data[[#This Row],[Appointment_Date]])</f>
        <v>2026</v>
      </c>
      <c r="H594" s="2" t="str">
        <f>TEXT(Patient_data[[#This Row],[Appointment_Date]],"mmmm")</f>
        <v>February</v>
      </c>
      <c r="I594" s="3" t="str">
        <f>TEXT(Patient_data[[#This Row],[Appointment_Date]],"mmm-yyyy")</f>
        <v>Feb-2026</v>
      </c>
      <c r="J594" s="3">
        <v>45934</v>
      </c>
      <c r="K594" t="s">
        <v>1205</v>
      </c>
      <c r="L594" t="s">
        <v>30</v>
      </c>
      <c r="M594" s="4">
        <v>53.09</v>
      </c>
      <c r="N594" t="s">
        <v>24</v>
      </c>
      <c r="O594">
        <f>Patient_data[[#This Row],[Appointment_Date]]-Patient_data[[#This Row],[Booking_Date]]</f>
        <v>122</v>
      </c>
    </row>
    <row r="595" spans="1:15" x14ac:dyDescent="0.25">
      <c r="A595">
        <v>1071</v>
      </c>
      <c r="B595">
        <v>41</v>
      </c>
      <c r="C595" t="s">
        <v>1129</v>
      </c>
      <c r="D595" t="s">
        <v>1206</v>
      </c>
      <c r="E595" t="s">
        <v>28</v>
      </c>
      <c r="F595" s="3">
        <v>46083</v>
      </c>
      <c r="G595" s="1">
        <f>YEAR(Patient_data[[#This Row],[Appointment_Date]])</f>
        <v>2026</v>
      </c>
      <c r="H595" s="2" t="str">
        <f>TEXT(Patient_data[[#This Row],[Appointment_Date]],"mmmm")</f>
        <v>March</v>
      </c>
      <c r="I595" s="3" t="str">
        <f>TEXT(Patient_data[[#This Row],[Appointment_Date]],"mmm-yyyy")</f>
        <v>Mar-2026</v>
      </c>
      <c r="J595" s="3">
        <v>45927</v>
      </c>
      <c r="K595" t="s">
        <v>1207</v>
      </c>
      <c r="L595" t="s">
        <v>23</v>
      </c>
      <c r="M595" s="4">
        <v>50.5</v>
      </c>
      <c r="N595" t="s">
        <v>20</v>
      </c>
      <c r="O595">
        <f>Patient_data[[#This Row],[Appointment_Date]]-Patient_data[[#This Row],[Booking_Date]]</f>
        <v>156</v>
      </c>
    </row>
    <row r="596" spans="1:15" x14ac:dyDescent="0.25">
      <c r="A596">
        <v>1021</v>
      </c>
      <c r="B596">
        <v>41</v>
      </c>
      <c r="C596" t="s">
        <v>1129</v>
      </c>
      <c r="D596" t="s">
        <v>1208</v>
      </c>
      <c r="E596" t="s">
        <v>28</v>
      </c>
      <c r="F596" s="3">
        <v>45750</v>
      </c>
      <c r="G596" s="1">
        <f>YEAR(Patient_data[[#This Row],[Appointment_Date]])</f>
        <v>2025</v>
      </c>
      <c r="H596" s="2" t="str">
        <f>TEXT(Patient_data[[#This Row],[Appointment_Date]],"mmmm")</f>
        <v>April</v>
      </c>
      <c r="I596" s="3" t="str">
        <f>TEXT(Patient_data[[#This Row],[Appointment_Date]],"mmm-yyyy")</f>
        <v>Apr-2025</v>
      </c>
      <c r="J596" s="3">
        <v>45526</v>
      </c>
      <c r="K596" t="s">
        <v>1209</v>
      </c>
      <c r="L596" t="s">
        <v>43</v>
      </c>
      <c r="M596" s="4">
        <v>70.08</v>
      </c>
      <c r="N596" t="s">
        <v>24</v>
      </c>
      <c r="O596">
        <f>Patient_data[[#This Row],[Appointment_Date]]-Patient_data[[#This Row],[Booking_Date]]</f>
        <v>224</v>
      </c>
    </row>
    <row r="597" spans="1:15" x14ac:dyDescent="0.25">
      <c r="A597">
        <v>1047</v>
      </c>
      <c r="B597">
        <v>40</v>
      </c>
      <c r="C597" t="s">
        <v>1129</v>
      </c>
      <c r="D597" t="s">
        <v>1210</v>
      </c>
      <c r="E597" t="s">
        <v>17</v>
      </c>
      <c r="F597" s="3">
        <v>46078</v>
      </c>
      <c r="G597" s="1">
        <f>YEAR(Patient_data[[#This Row],[Appointment_Date]])</f>
        <v>2026</v>
      </c>
      <c r="H597" s="2" t="str">
        <f>TEXT(Patient_data[[#This Row],[Appointment_Date]],"mmmm")</f>
        <v>February</v>
      </c>
      <c r="I597" s="3" t="str">
        <f>TEXT(Patient_data[[#This Row],[Appointment_Date]],"mmm-yyyy")</f>
        <v>Feb-2026</v>
      </c>
      <c r="J597" s="3">
        <v>45809</v>
      </c>
      <c r="K597" t="s">
        <v>1211</v>
      </c>
      <c r="L597" t="s">
        <v>43</v>
      </c>
      <c r="M597" s="4">
        <v>47.13</v>
      </c>
      <c r="N597" t="s">
        <v>24</v>
      </c>
      <c r="O597">
        <f>Patient_data[[#This Row],[Appointment_Date]]-Patient_data[[#This Row],[Booking_Date]]</f>
        <v>269</v>
      </c>
    </row>
    <row r="598" spans="1:15" x14ac:dyDescent="0.25">
      <c r="A598">
        <v>1092</v>
      </c>
      <c r="B598">
        <v>40</v>
      </c>
      <c r="C598" t="s">
        <v>1129</v>
      </c>
      <c r="D598" t="s">
        <v>1212</v>
      </c>
      <c r="E598" t="s">
        <v>28</v>
      </c>
      <c r="F598" s="3">
        <v>46063</v>
      </c>
      <c r="G598" s="1">
        <f>YEAR(Patient_data[[#This Row],[Appointment_Date]])</f>
        <v>2026</v>
      </c>
      <c r="H598" s="2" t="str">
        <f>TEXT(Patient_data[[#This Row],[Appointment_Date]],"mmmm")</f>
        <v>February</v>
      </c>
      <c r="I598" s="3" t="str">
        <f>TEXT(Patient_data[[#This Row],[Appointment_Date]],"mmm-yyyy")</f>
        <v>Feb-2026</v>
      </c>
      <c r="J598" s="3">
        <v>46009</v>
      </c>
      <c r="K598" t="s">
        <v>1213</v>
      </c>
      <c r="L598" t="s">
        <v>19</v>
      </c>
      <c r="M598" s="4">
        <v>9.67</v>
      </c>
      <c r="N598" t="s">
        <v>24</v>
      </c>
      <c r="O598">
        <f>Patient_data[[#This Row],[Appointment_Date]]-Patient_data[[#This Row],[Booking_Date]]</f>
        <v>54</v>
      </c>
    </row>
    <row r="599" spans="1:15" x14ac:dyDescent="0.25">
      <c r="A599">
        <v>1039</v>
      </c>
      <c r="B599">
        <v>40</v>
      </c>
      <c r="C599" t="s">
        <v>1129</v>
      </c>
      <c r="D599" t="s">
        <v>1214</v>
      </c>
      <c r="E599" t="s">
        <v>17</v>
      </c>
      <c r="F599" s="3">
        <v>45903</v>
      </c>
      <c r="G599" s="1">
        <f>YEAR(Patient_data[[#This Row],[Appointment_Date]])</f>
        <v>2025</v>
      </c>
      <c r="H599" s="2" t="str">
        <f>TEXT(Patient_data[[#This Row],[Appointment_Date]],"mmmm")</f>
        <v>September</v>
      </c>
      <c r="I599" s="3" t="str">
        <f>TEXT(Patient_data[[#This Row],[Appointment_Date]],"mmm-yyyy")</f>
        <v>Sep-2025</v>
      </c>
      <c r="J599" s="3">
        <v>45390</v>
      </c>
      <c r="K599" t="s">
        <v>1215</v>
      </c>
      <c r="L599" t="s">
        <v>30</v>
      </c>
      <c r="M599" s="4">
        <v>54.68</v>
      </c>
      <c r="N599" t="s">
        <v>24</v>
      </c>
      <c r="O599">
        <f>Patient_data[[#This Row],[Appointment_Date]]-Patient_data[[#This Row],[Booking_Date]]</f>
        <v>513</v>
      </c>
    </row>
    <row r="600" spans="1:15" x14ac:dyDescent="0.25">
      <c r="A600">
        <v>1020</v>
      </c>
      <c r="B600">
        <v>40</v>
      </c>
      <c r="C600" t="s">
        <v>1129</v>
      </c>
      <c r="D600" t="s">
        <v>1216</v>
      </c>
      <c r="E600" t="s">
        <v>28</v>
      </c>
      <c r="F600" s="3">
        <v>46036</v>
      </c>
      <c r="G600" s="1">
        <f>YEAR(Patient_data[[#This Row],[Appointment_Date]])</f>
        <v>2026</v>
      </c>
      <c r="H600" s="2" t="str">
        <f>TEXT(Patient_data[[#This Row],[Appointment_Date]],"mmmm")</f>
        <v>January</v>
      </c>
      <c r="I600" s="3" t="str">
        <f>TEXT(Patient_data[[#This Row],[Appointment_Date]],"mmm-yyyy")</f>
        <v>Jan-2026</v>
      </c>
      <c r="J600" s="3">
        <v>45974</v>
      </c>
      <c r="K600" t="s">
        <v>1217</v>
      </c>
      <c r="L600" t="s">
        <v>19</v>
      </c>
      <c r="M600" s="4">
        <v>6.43</v>
      </c>
      <c r="N600" t="s">
        <v>20</v>
      </c>
      <c r="O600">
        <f>Patient_data[[#This Row],[Appointment_Date]]-Patient_data[[#This Row],[Booking_Date]]</f>
        <v>62</v>
      </c>
    </row>
    <row r="601" spans="1:15" x14ac:dyDescent="0.25">
      <c r="A601">
        <v>1080</v>
      </c>
      <c r="B601">
        <v>40</v>
      </c>
      <c r="C601" t="s">
        <v>1129</v>
      </c>
      <c r="D601" t="s">
        <v>1218</v>
      </c>
      <c r="E601" t="s">
        <v>28</v>
      </c>
      <c r="F601" s="3">
        <v>45896</v>
      </c>
      <c r="G601" s="1">
        <f>YEAR(Patient_data[[#This Row],[Appointment_Date]])</f>
        <v>2025</v>
      </c>
      <c r="H601" s="2" t="str">
        <f>TEXT(Patient_data[[#This Row],[Appointment_Date]],"mmmm")</f>
        <v>August</v>
      </c>
      <c r="I601" s="3" t="str">
        <f>TEXT(Patient_data[[#This Row],[Appointment_Date]],"mmm-yyyy")</f>
        <v>Aug-2025</v>
      </c>
      <c r="J601" s="3">
        <v>45851</v>
      </c>
      <c r="K601" t="s">
        <v>1219</v>
      </c>
      <c r="L601" t="s">
        <v>43</v>
      </c>
      <c r="M601" s="4">
        <v>366.15</v>
      </c>
      <c r="N601" t="s">
        <v>24</v>
      </c>
      <c r="O601">
        <f>Patient_data[[#This Row],[Appointment_Date]]-Patient_data[[#This Row],[Booking_Date]]</f>
        <v>45</v>
      </c>
    </row>
    <row r="602" spans="1:15" x14ac:dyDescent="0.25">
      <c r="A602">
        <v>1025</v>
      </c>
      <c r="B602">
        <v>40</v>
      </c>
      <c r="C602" t="s">
        <v>1129</v>
      </c>
      <c r="D602" t="s">
        <v>1220</v>
      </c>
      <c r="E602" t="s">
        <v>17</v>
      </c>
      <c r="F602" s="3">
        <v>45880</v>
      </c>
      <c r="G602" s="1">
        <f>YEAR(Patient_data[[#This Row],[Appointment_Date]])</f>
        <v>2025</v>
      </c>
      <c r="H602" s="2" t="str">
        <f>TEXT(Patient_data[[#This Row],[Appointment_Date]],"mmmm")</f>
        <v>August</v>
      </c>
      <c r="I602" s="3" t="str">
        <f>TEXT(Patient_data[[#This Row],[Appointment_Date]],"mmm-yyyy")</f>
        <v>Aug-2025</v>
      </c>
      <c r="J602" s="3">
        <v>45506</v>
      </c>
      <c r="K602" t="s">
        <v>1221</v>
      </c>
      <c r="L602" t="s">
        <v>43</v>
      </c>
      <c r="M602" s="4">
        <v>258.77999999999997</v>
      </c>
      <c r="N602" t="s">
        <v>20</v>
      </c>
      <c r="O602">
        <f>Patient_data[[#This Row],[Appointment_Date]]-Patient_data[[#This Row],[Booking_Date]]</f>
        <v>374</v>
      </c>
    </row>
    <row r="603" spans="1:15" x14ac:dyDescent="0.25">
      <c r="A603">
        <v>1031</v>
      </c>
      <c r="B603">
        <v>40</v>
      </c>
      <c r="C603" t="s">
        <v>1129</v>
      </c>
      <c r="D603" t="s">
        <v>1222</v>
      </c>
      <c r="E603" t="s">
        <v>28</v>
      </c>
      <c r="F603" s="3">
        <v>46065</v>
      </c>
      <c r="G603" s="1">
        <f>YEAR(Patient_data[[#This Row],[Appointment_Date]])</f>
        <v>2026</v>
      </c>
      <c r="H603" s="2" t="str">
        <f>TEXT(Patient_data[[#This Row],[Appointment_Date]],"mmmm")</f>
        <v>February</v>
      </c>
      <c r="I603" s="3" t="str">
        <f>TEXT(Patient_data[[#This Row],[Appointment_Date]],"mmm-yyyy")</f>
        <v>Feb-2026</v>
      </c>
      <c r="J603" s="3">
        <v>45394</v>
      </c>
      <c r="K603" t="s">
        <v>1223</v>
      </c>
      <c r="L603" t="s">
        <v>19</v>
      </c>
      <c r="M603" s="4">
        <v>64.33</v>
      </c>
      <c r="N603" t="s">
        <v>20</v>
      </c>
      <c r="O603">
        <f>Patient_data[[#This Row],[Appointment_Date]]-Patient_data[[#This Row],[Booking_Date]]</f>
        <v>671</v>
      </c>
    </row>
    <row r="604" spans="1:15" x14ac:dyDescent="0.25">
      <c r="A604">
        <v>1069</v>
      </c>
      <c r="B604">
        <v>40</v>
      </c>
      <c r="C604" t="s">
        <v>1129</v>
      </c>
      <c r="D604" t="s">
        <v>1224</v>
      </c>
      <c r="E604" t="s">
        <v>17</v>
      </c>
      <c r="F604" s="3">
        <v>46000</v>
      </c>
      <c r="G604" s="1">
        <f>YEAR(Patient_data[[#This Row],[Appointment_Date]])</f>
        <v>2025</v>
      </c>
      <c r="H604" s="2" t="str">
        <f>TEXT(Patient_data[[#This Row],[Appointment_Date]],"mmmm")</f>
        <v>December</v>
      </c>
      <c r="I604" s="3" t="str">
        <f>TEXT(Patient_data[[#This Row],[Appointment_Date]],"mmm-yyyy")</f>
        <v>Dec-2025</v>
      </c>
      <c r="J604" s="3">
        <v>45941</v>
      </c>
      <c r="K604" t="s">
        <v>1225</v>
      </c>
      <c r="L604" t="s">
        <v>23</v>
      </c>
      <c r="M604" s="4">
        <v>66.739999999999995</v>
      </c>
      <c r="N604" t="s">
        <v>24</v>
      </c>
      <c r="O604">
        <f>Patient_data[[#This Row],[Appointment_Date]]-Patient_data[[#This Row],[Booking_Date]]</f>
        <v>59</v>
      </c>
    </row>
    <row r="605" spans="1:15" x14ac:dyDescent="0.25">
      <c r="A605">
        <v>1008</v>
      </c>
      <c r="B605">
        <v>40</v>
      </c>
      <c r="C605" t="s">
        <v>1129</v>
      </c>
      <c r="D605" t="s">
        <v>1226</v>
      </c>
      <c r="E605" t="s">
        <v>17</v>
      </c>
      <c r="F605" s="3">
        <v>45960</v>
      </c>
      <c r="G605" s="1">
        <f>YEAR(Patient_data[[#This Row],[Appointment_Date]])</f>
        <v>2025</v>
      </c>
      <c r="H605" s="2" t="str">
        <f>TEXT(Patient_data[[#This Row],[Appointment_Date]],"mmmm")</f>
        <v>October</v>
      </c>
      <c r="I605" s="3" t="str">
        <f>TEXT(Patient_data[[#This Row],[Appointment_Date]],"mmm-yyyy")</f>
        <v>Oct-2025</v>
      </c>
      <c r="J605" s="3">
        <v>45504</v>
      </c>
      <c r="K605" t="s">
        <v>1227</v>
      </c>
      <c r="L605" t="s">
        <v>43</v>
      </c>
      <c r="M605" s="4">
        <v>449.41</v>
      </c>
      <c r="N605" t="s">
        <v>20</v>
      </c>
      <c r="O605">
        <f>Patient_data[[#This Row],[Appointment_Date]]-Patient_data[[#This Row],[Booking_Date]]</f>
        <v>456</v>
      </c>
    </row>
    <row r="606" spans="1:15" x14ac:dyDescent="0.25">
      <c r="A606">
        <v>1083</v>
      </c>
      <c r="B606">
        <v>40</v>
      </c>
      <c r="C606" t="s">
        <v>1129</v>
      </c>
      <c r="D606" t="s">
        <v>1228</v>
      </c>
      <c r="E606" t="s">
        <v>28</v>
      </c>
      <c r="F606" s="3">
        <v>45966</v>
      </c>
      <c r="G606" s="1">
        <f>YEAR(Patient_data[[#This Row],[Appointment_Date]])</f>
        <v>2025</v>
      </c>
      <c r="H606" s="2" t="str">
        <f>TEXT(Patient_data[[#This Row],[Appointment_Date]],"mmmm")</f>
        <v>November</v>
      </c>
      <c r="I606" s="3" t="str">
        <f>TEXT(Patient_data[[#This Row],[Appointment_Date]],"mmm-yyyy")</f>
        <v>Nov-2025</v>
      </c>
      <c r="J606" s="3">
        <v>45519</v>
      </c>
      <c r="K606" t="s">
        <v>1229</v>
      </c>
      <c r="L606" t="s">
        <v>43</v>
      </c>
      <c r="M606" s="4">
        <v>312.26</v>
      </c>
      <c r="N606" t="s">
        <v>20</v>
      </c>
      <c r="O606">
        <f>Patient_data[[#This Row],[Appointment_Date]]-Patient_data[[#This Row],[Booking_Date]]</f>
        <v>447</v>
      </c>
    </row>
    <row r="607" spans="1:15" x14ac:dyDescent="0.25">
      <c r="A607">
        <v>1030</v>
      </c>
      <c r="B607">
        <v>40</v>
      </c>
      <c r="C607" t="s">
        <v>1129</v>
      </c>
      <c r="D607" t="s">
        <v>1230</v>
      </c>
      <c r="E607" t="s">
        <v>17</v>
      </c>
      <c r="F607" s="3">
        <v>45994</v>
      </c>
      <c r="G607" s="1">
        <f>YEAR(Patient_data[[#This Row],[Appointment_Date]])</f>
        <v>2025</v>
      </c>
      <c r="H607" s="2" t="str">
        <f>TEXT(Patient_data[[#This Row],[Appointment_Date]],"mmmm")</f>
        <v>December</v>
      </c>
      <c r="I607" s="3" t="str">
        <f>TEXT(Patient_data[[#This Row],[Appointment_Date]],"mmm-yyyy")</f>
        <v>Dec-2025</v>
      </c>
      <c r="J607" s="3">
        <v>45908</v>
      </c>
      <c r="K607" t="s">
        <v>1231</v>
      </c>
      <c r="L607" t="s">
        <v>43</v>
      </c>
      <c r="M607" s="4">
        <v>252.73</v>
      </c>
      <c r="N607" t="s">
        <v>24</v>
      </c>
      <c r="O607">
        <f>Patient_data[[#This Row],[Appointment_Date]]-Patient_data[[#This Row],[Booking_Date]]</f>
        <v>86</v>
      </c>
    </row>
    <row r="608" spans="1:15" x14ac:dyDescent="0.25">
      <c r="A608">
        <v>1021</v>
      </c>
      <c r="B608">
        <v>39</v>
      </c>
      <c r="C608" t="s">
        <v>1129</v>
      </c>
      <c r="D608" t="s">
        <v>1232</v>
      </c>
      <c r="E608" t="s">
        <v>17</v>
      </c>
      <c r="F608" s="3">
        <v>45836</v>
      </c>
      <c r="G608" s="1">
        <f>YEAR(Patient_data[[#This Row],[Appointment_Date]])</f>
        <v>2025</v>
      </c>
      <c r="H608" s="2" t="str">
        <f>TEXT(Patient_data[[#This Row],[Appointment_Date]],"mmmm")</f>
        <v>June</v>
      </c>
      <c r="I608" s="3" t="str">
        <f>TEXT(Patient_data[[#This Row],[Appointment_Date]],"mmm-yyyy")</f>
        <v>Jun-2025</v>
      </c>
      <c r="J608" s="3">
        <v>45378</v>
      </c>
      <c r="K608" t="s">
        <v>1233</v>
      </c>
      <c r="L608" t="s">
        <v>23</v>
      </c>
      <c r="M608" s="4">
        <v>95.21</v>
      </c>
      <c r="N608" t="s">
        <v>24</v>
      </c>
      <c r="O608">
        <f>Patient_data[[#This Row],[Appointment_Date]]-Patient_data[[#This Row],[Booking_Date]]</f>
        <v>458</v>
      </c>
    </row>
    <row r="609" spans="1:15" x14ac:dyDescent="0.25">
      <c r="A609">
        <v>1047</v>
      </c>
      <c r="B609">
        <v>39</v>
      </c>
      <c r="C609" t="s">
        <v>1129</v>
      </c>
      <c r="D609" t="s">
        <v>1234</v>
      </c>
      <c r="E609" t="s">
        <v>17</v>
      </c>
      <c r="F609" s="3">
        <v>45983</v>
      </c>
      <c r="G609" s="1">
        <f>YEAR(Patient_data[[#This Row],[Appointment_Date]])</f>
        <v>2025</v>
      </c>
      <c r="H609" s="2" t="str">
        <f>TEXT(Patient_data[[#This Row],[Appointment_Date]],"mmmm")</f>
        <v>November</v>
      </c>
      <c r="I609" s="3" t="str">
        <f>TEXT(Patient_data[[#This Row],[Appointment_Date]],"mmm-yyyy")</f>
        <v>Nov-2025</v>
      </c>
      <c r="J609" s="3">
        <v>45610</v>
      </c>
      <c r="K609" t="s">
        <v>1235</v>
      </c>
      <c r="L609" t="s">
        <v>19</v>
      </c>
      <c r="M609" s="4">
        <v>43.15</v>
      </c>
      <c r="N609" t="s">
        <v>20</v>
      </c>
      <c r="O609">
        <f>Patient_data[[#This Row],[Appointment_Date]]-Patient_data[[#This Row],[Booking_Date]]</f>
        <v>373</v>
      </c>
    </row>
    <row r="610" spans="1:15" x14ac:dyDescent="0.25">
      <c r="A610">
        <v>1098</v>
      </c>
      <c r="B610">
        <v>39</v>
      </c>
      <c r="C610" t="s">
        <v>1129</v>
      </c>
      <c r="D610" t="s">
        <v>1236</v>
      </c>
      <c r="E610" t="s">
        <v>17</v>
      </c>
      <c r="F610" s="3">
        <v>45962</v>
      </c>
      <c r="G610" s="1">
        <f>YEAR(Patient_data[[#This Row],[Appointment_Date]])</f>
        <v>2025</v>
      </c>
      <c r="H610" s="2" t="str">
        <f>TEXT(Patient_data[[#This Row],[Appointment_Date]],"mmmm")</f>
        <v>November</v>
      </c>
      <c r="I610" s="3" t="str">
        <f>TEXT(Patient_data[[#This Row],[Appointment_Date]],"mmm-yyyy")</f>
        <v>Nov-2025</v>
      </c>
      <c r="J610" s="3">
        <v>45578</v>
      </c>
      <c r="K610" t="s">
        <v>1237</v>
      </c>
      <c r="L610" t="s">
        <v>23</v>
      </c>
      <c r="M610" s="4">
        <v>54.36</v>
      </c>
      <c r="N610" t="s">
        <v>20</v>
      </c>
      <c r="O610">
        <f>Patient_data[[#This Row],[Appointment_Date]]-Patient_data[[#This Row],[Booking_Date]]</f>
        <v>384</v>
      </c>
    </row>
    <row r="611" spans="1:15" x14ac:dyDescent="0.25">
      <c r="A611">
        <v>1007</v>
      </c>
      <c r="B611">
        <v>39</v>
      </c>
      <c r="C611" t="s">
        <v>1129</v>
      </c>
      <c r="D611" t="s">
        <v>1238</v>
      </c>
      <c r="E611" t="s">
        <v>28</v>
      </c>
      <c r="F611" s="3">
        <v>46031</v>
      </c>
      <c r="G611" s="1">
        <f>YEAR(Patient_data[[#This Row],[Appointment_Date]])</f>
        <v>2026</v>
      </c>
      <c r="H611" s="2" t="str">
        <f>TEXT(Patient_data[[#This Row],[Appointment_Date]],"mmmm")</f>
        <v>January</v>
      </c>
      <c r="I611" s="3" t="str">
        <f>TEXT(Patient_data[[#This Row],[Appointment_Date]],"mmm-yyyy")</f>
        <v>Jan-2026</v>
      </c>
      <c r="J611" s="3">
        <v>45513</v>
      </c>
      <c r="K611" t="s">
        <v>1239</v>
      </c>
      <c r="L611" t="s">
        <v>30</v>
      </c>
      <c r="M611" s="4">
        <v>60.91</v>
      </c>
      <c r="N611" t="s">
        <v>20</v>
      </c>
      <c r="O611">
        <f>Patient_data[[#This Row],[Appointment_Date]]-Patient_data[[#This Row],[Booking_Date]]</f>
        <v>518</v>
      </c>
    </row>
    <row r="612" spans="1:15" x14ac:dyDescent="0.25">
      <c r="A612">
        <v>1047</v>
      </c>
      <c r="B612">
        <v>39</v>
      </c>
      <c r="C612" t="s">
        <v>1129</v>
      </c>
      <c r="D612" t="s">
        <v>1240</v>
      </c>
      <c r="E612" t="s">
        <v>28</v>
      </c>
      <c r="F612" s="3">
        <v>46107</v>
      </c>
      <c r="G612" s="1">
        <f>YEAR(Patient_data[[#This Row],[Appointment_Date]])</f>
        <v>2026</v>
      </c>
      <c r="H612" s="2" t="str">
        <f>TEXT(Patient_data[[#This Row],[Appointment_Date]],"mmmm")</f>
        <v>March</v>
      </c>
      <c r="I612" s="3" t="str">
        <f>TEXT(Patient_data[[#This Row],[Appointment_Date]],"mmm-yyyy")</f>
        <v>Mar-2026</v>
      </c>
      <c r="J612" s="3">
        <v>45893</v>
      </c>
      <c r="K612" t="s">
        <v>1241</v>
      </c>
      <c r="L612" t="s">
        <v>19</v>
      </c>
      <c r="M612" s="4">
        <v>47.23</v>
      </c>
      <c r="N612" t="s">
        <v>20</v>
      </c>
      <c r="O612">
        <f>Patient_data[[#This Row],[Appointment_Date]]-Patient_data[[#This Row],[Booking_Date]]</f>
        <v>214</v>
      </c>
    </row>
    <row r="613" spans="1:15" x14ac:dyDescent="0.25">
      <c r="A613">
        <v>1030</v>
      </c>
      <c r="B613">
        <v>39</v>
      </c>
      <c r="C613" t="s">
        <v>1129</v>
      </c>
      <c r="D613" t="s">
        <v>1242</v>
      </c>
      <c r="E613" t="s">
        <v>17</v>
      </c>
      <c r="F613" s="3">
        <v>45979</v>
      </c>
      <c r="G613" s="1">
        <f>YEAR(Patient_data[[#This Row],[Appointment_Date]])</f>
        <v>2025</v>
      </c>
      <c r="H613" s="2" t="str">
        <f>TEXT(Patient_data[[#This Row],[Appointment_Date]],"mmmm")</f>
        <v>November</v>
      </c>
      <c r="I613" s="3" t="str">
        <f>TEXT(Patient_data[[#This Row],[Appointment_Date]],"mmm-yyyy")</f>
        <v>Nov-2025</v>
      </c>
      <c r="J613" s="3">
        <v>45965</v>
      </c>
      <c r="K613" t="s">
        <v>1243</v>
      </c>
      <c r="L613" t="s">
        <v>19</v>
      </c>
      <c r="M613" s="4">
        <v>4.8600000000000003</v>
      </c>
      <c r="N613" t="s">
        <v>20</v>
      </c>
      <c r="O613">
        <f>Patient_data[[#This Row],[Appointment_Date]]-Patient_data[[#This Row],[Booking_Date]]</f>
        <v>14</v>
      </c>
    </row>
    <row r="614" spans="1:15" x14ac:dyDescent="0.25">
      <c r="A614">
        <v>1076</v>
      </c>
      <c r="B614">
        <v>39</v>
      </c>
      <c r="C614" t="s">
        <v>1129</v>
      </c>
      <c r="D614" t="s">
        <v>1244</v>
      </c>
      <c r="E614" t="s">
        <v>28</v>
      </c>
      <c r="F614" s="3">
        <v>45807</v>
      </c>
      <c r="G614" s="1">
        <f>YEAR(Patient_data[[#This Row],[Appointment_Date]])</f>
        <v>2025</v>
      </c>
      <c r="H614" s="2" t="str">
        <f>TEXT(Patient_data[[#This Row],[Appointment_Date]],"mmmm")</f>
        <v>May</v>
      </c>
      <c r="I614" s="3" t="str">
        <f>TEXT(Patient_data[[#This Row],[Appointment_Date]],"mmm-yyyy")</f>
        <v>May-2025</v>
      </c>
      <c r="J614" s="3">
        <v>45783</v>
      </c>
      <c r="K614" t="s">
        <v>1245</v>
      </c>
      <c r="L614" t="s">
        <v>23</v>
      </c>
      <c r="M614" s="4">
        <v>58.45</v>
      </c>
      <c r="N614" t="s">
        <v>24</v>
      </c>
      <c r="O614">
        <f>Patient_data[[#This Row],[Appointment_Date]]-Patient_data[[#This Row],[Booking_Date]]</f>
        <v>24</v>
      </c>
    </row>
    <row r="615" spans="1:15" x14ac:dyDescent="0.25">
      <c r="A615">
        <v>1060</v>
      </c>
      <c r="B615">
        <v>39</v>
      </c>
      <c r="C615" t="s">
        <v>1129</v>
      </c>
      <c r="D615" t="s">
        <v>1246</v>
      </c>
      <c r="E615" t="s">
        <v>17</v>
      </c>
      <c r="F615" s="3">
        <v>46031</v>
      </c>
      <c r="G615" s="1">
        <f>YEAR(Patient_data[[#This Row],[Appointment_Date]])</f>
        <v>2026</v>
      </c>
      <c r="H615" s="2" t="str">
        <f>TEXT(Patient_data[[#This Row],[Appointment_Date]],"mmmm")</f>
        <v>January</v>
      </c>
      <c r="I615" s="3" t="str">
        <f>TEXT(Patient_data[[#This Row],[Appointment_Date]],"mmm-yyyy")</f>
        <v>Jan-2026</v>
      </c>
      <c r="J615" s="3">
        <v>45828</v>
      </c>
      <c r="K615" t="s">
        <v>1247</v>
      </c>
      <c r="L615" t="s">
        <v>30</v>
      </c>
      <c r="M615" s="4">
        <v>18.29</v>
      </c>
      <c r="N615" t="s">
        <v>20</v>
      </c>
      <c r="O615">
        <f>Patient_data[[#This Row],[Appointment_Date]]-Patient_data[[#This Row],[Booking_Date]]</f>
        <v>203</v>
      </c>
    </row>
    <row r="616" spans="1:15" x14ac:dyDescent="0.25">
      <c r="A616">
        <v>1037</v>
      </c>
      <c r="B616">
        <v>39</v>
      </c>
      <c r="C616" t="s">
        <v>1129</v>
      </c>
      <c r="D616" t="s">
        <v>1248</v>
      </c>
      <c r="E616" t="s">
        <v>17</v>
      </c>
      <c r="F616" s="3">
        <v>45986</v>
      </c>
      <c r="G616" s="1">
        <f>YEAR(Patient_data[[#This Row],[Appointment_Date]])</f>
        <v>2025</v>
      </c>
      <c r="H616" s="2" t="str">
        <f>TEXT(Patient_data[[#This Row],[Appointment_Date]],"mmmm")</f>
        <v>November</v>
      </c>
      <c r="I616" s="3" t="str">
        <f>TEXT(Patient_data[[#This Row],[Appointment_Date]],"mmm-yyyy")</f>
        <v>Nov-2025</v>
      </c>
      <c r="J616" s="3">
        <v>45864</v>
      </c>
      <c r="K616" t="s">
        <v>1249</v>
      </c>
      <c r="L616" t="s">
        <v>23</v>
      </c>
      <c r="M616" s="4">
        <v>319.04000000000002</v>
      </c>
      <c r="N616" t="s">
        <v>24</v>
      </c>
      <c r="O616">
        <f>Patient_data[[#This Row],[Appointment_Date]]-Patient_data[[#This Row],[Booking_Date]]</f>
        <v>122</v>
      </c>
    </row>
    <row r="617" spans="1:15" x14ac:dyDescent="0.25">
      <c r="A617">
        <v>1053</v>
      </c>
      <c r="B617">
        <v>39</v>
      </c>
      <c r="C617" t="s">
        <v>1129</v>
      </c>
      <c r="D617" t="s">
        <v>1250</v>
      </c>
      <c r="E617" t="s">
        <v>28</v>
      </c>
      <c r="F617" s="3">
        <v>46037</v>
      </c>
      <c r="G617" s="1">
        <f>YEAR(Patient_data[[#This Row],[Appointment_Date]])</f>
        <v>2026</v>
      </c>
      <c r="H617" s="2" t="str">
        <f>TEXT(Patient_data[[#This Row],[Appointment_Date]],"mmmm")</f>
        <v>January</v>
      </c>
      <c r="I617" s="3" t="str">
        <f>TEXT(Patient_data[[#This Row],[Appointment_Date]],"mmm-yyyy")</f>
        <v>Jan-2026</v>
      </c>
      <c r="J617" s="3">
        <v>45972</v>
      </c>
      <c r="K617" t="s">
        <v>1251</v>
      </c>
      <c r="L617" t="s">
        <v>23</v>
      </c>
      <c r="M617" s="4">
        <v>95.71</v>
      </c>
      <c r="N617" t="s">
        <v>20</v>
      </c>
      <c r="O617">
        <f>Patient_data[[#This Row],[Appointment_Date]]-Patient_data[[#This Row],[Booking_Date]]</f>
        <v>65</v>
      </c>
    </row>
    <row r="618" spans="1:15" x14ac:dyDescent="0.25">
      <c r="A618">
        <v>1010</v>
      </c>
      <c r="B618">
        <v>38</v>
      </c>
      <c r="C618" t="s">
        <v>1129</v>
      </c>
      <c r="D618" t="s">
        <v>1252</v>
      </c>
      <c r="E618" t="s">
        <v>28</v>
      </c>
      <c r="F618" s="3">
        <v>46064</v>
      </c>
      <c r="G618" s="1">
        <f>YEAR(Patient_data[[#This Row],[Appointment_Date]])</f>
        <v>2026</v>
      </c>
      <c r="H618" s="2" t="str">
        <f>TEXT(Patient_data[[#This Row],[Appointment_Date]],"mmmm")</f>
        <v>February</v>
      </c>
      <c r="I618" s="3" t="str">
        <f>TEXT(Patient_data[[#This Row],[Appointment_Date]],"mmm-yyyy")</f>
        <v>Feb-2026</v>
      </c>
      <c r="J618" s="3">
        <v>45928</v>
      </c>
      <c r="K618" t="s">
        <v>1253</v>
      </c>
      <c r="L618" t="s">
        <v>43</v>
      </c>
      <c r="M618" s="4">
        <v>1.27</v>
      </c>
      <c r="N618" t="s">
        <v>20</v>
      </c>
      <c r="O618">
        <f>Patient_data[[#This Row],[Appointment_Date]]-Patient_data[[#This Row],[Booking_Date]]</f>
        <v>136</v>
      </c>
    </row>
    <row r="619" spans="1:15" x14ac:dyDescent="0.25">
      <c r="A619">
        <v>1047</v>
      </c>
      <c r="B619">
        <v>38</v>
      </c>
      <c r="C619" t="s">
        <v>1129</v>
      </c>
      <c r="D619" t="s">
        <v>1254</v>
      </c>
      <c r="E619" t="s">
        <v>17</v>
      </c>
      <c r="F619" s="3">
        <v>46006</v>
      </c>
      <c r="G619" s="1">
        <f>YEAR(Patient_data[[#This Row],[Appointment_Date]])</f>
        <v>2025</v>
      </c>
      <c r="H619" s="2" t="str">
        <f>TEXT(Patient_data[[#This Row],[Appointment_Date]],"mmmm")</f>
        <v>December</v>
      </c>
      <c r="I619" s="3" t="str">
        <f>TEXT(Patient_data[[#This Row],[Appointment_Date]],"mmm-yyyy")</f>
        <v>Dec-2025</v>
      </c>
      <c r="J619" s="3">
        <v>45651</v>
      </c>
      <c r="K619" t="s">
        <v>1255</v>
      </c>
      <c r="L619" t="s">
        <v>30</v>
      </c>
      <c r="M619" s="4">
        <v>0.34</v>
      </c>
      <c r="N619" t="s">
        <v>24</v>
      </c>
      <c r="O619">
        <f>Patient_data[[#This Row],[Appointment_Date]]-Patient_data[[#This Row],[Booking_Date]]</f>
        <v>355</v>
      </c>
    </row>
    <row r="620" spans="1:15" x14ac:dyDescent="0.25">
      <c r="A620">
        <v>1073</v>
      </c>
      <c r="B620">
        <v>38</v>
      </c>
      <c r="C620" t="s">
        <v>1129</v>
      </c>
      <c r="D620" t="s">
        <v>1256</v>
      </c>
      <c r="E620" t="s">
        <v>17</v>
      </c>
      <c r="F620" s="3">
        <v>45990</v>
      </c>
      <c r="G620" s="1">
        <f>YEAR(Patient_data[[#This Row],[Appointment_Date]])</f>
        <v>2025</v>
      </c>
      <c r="H620" s="2" t="str">
        <f>TEXT(Patient_data[[#This Row],[Appointment_Date]],"mmmm")</f>
        <v>November</v>
      </c>
      <c r="I620" s="3" t="str">
        <f>TEXT(Patient_data[[#This Row],[Appointment_Date]],"mmm-yyyy")</f>
        <v>Nov-2025</v>
      </c>
      <c r="J620" s="3">
        <v>45849</v>
      </c>
      <c r="K620" t="s">
        <v>1257</v>
      </c>
      <c r="L620" t="s">
        <v>43</v>
      </c>
      <c r="M620" s="4">
        <v>335.07</v>
      </c>
      <c r="N620" t="s">
        <v>20</v>
      </c>
      <c r="O620">
        <f>Patient_data[[#This Row],[Appointment_Date]]-Patient_data[[#This Row],[Booking_Date]]</f>
        <v>141</v>
      </c>
    </row>
    <row r="621" spans="1:15" x14ac:dyDescent="0.25">
      <c r="A621">
        <v>1036</v>
      </c>
      <c r="B621">
        <v>38</v>
      </c>
      <c r="C621" t="s">
        <v>1129</v>
      </c>
      <c r="D621" t="s">
        <v>1258</v>
      </c>
      <c r="E621" t="s">
        <v>28</v>
      </c>
      <c r="F621" s="3">
        <v>45742</v>
      </c>
      <c r="G621" s="1">
        <f>YEAR(Patient_data[[#This Row],[Appointment_Date]])</f>
        <v>2025</v>
      </c>
      <c r="H621" s="2" t="str">
        <f>TEXT(Patient_data[[#This Row],[Appointment_Date]],"mmmm")</f>
        <v>March</v>
      </c>
      <c r="I621" s="3" t="str">
        <f>TEXT(Patient_data[[#This Row],[Appointment_Date]],"mmm-yyyy")</f>
        <v>Mar-2025</v>
      </c>
      <c r="J621" s="3">
        <v>45718</v>
      </c>
      <c r="K621" t="s">
        <v>1259</v>
      </c>
      <c r="L621" t="s">
        <v>30</v>
      </c>
      <c r="M621" s="4">
        <v>14.64</v>
      </c>
      <c r="N621" t="s">
        <v>20</v>
      </c>
      <c r="O621">
        <f>Patient_data[[#This Row],[Appointment_Date]]-Patient_data[[#This Row],[Booking_Date]]</f>
        <v>24</v>
      </c>
    </row>
    <row r="622" spans="1:15" x14ac:dyDescent="0.25">
      <c r="A622">
        <v>1021</v>
      </c>
      <c r="B622">
        <v>38</v>
      </c>
      <c r="C622" t="s">
        <v>1129</v>
      </c>
      <c r="D622" t="s">
        <v>1260</v>
      </c>
      <c r="E622" t="s">
        <v>28</v>
      </c>
      <c r="F622" s="3">
        <v>45962</v>
      </c>
      <c r="G622" s="1">
        <f>YEAR(Patient_data[[#This Row],[Appointment_Date]])</f>
        <v>2025</v>
      </c>
      <c r="H622" s="2" t="str">
        <f>TEXT(Patient_data[[#This Row],[Appointment_Date]],"mmmm")</f>
        <v>November</v>
      </c>
      <c r="I622" s="3" t="str">
        <f>TEXT(Patient_data[[#This Row],[Appointment_Date]],"mmm-yyyy")</f>
        <v>Nov-2025</v>
      </c>
      <c r="J622" s="3">
        <v>45437</v>
      </c>
      <c r="K622" t="s">
        <v>1261</v>
      </c>
      <c r="L622" t="s">
        <v>19</v>
      </c>
      <c r="M622" s="4">
        <v>22.56</v>
      </c>
      <c r="N622" t="s">
        <v>24</v>
      </c>
      <c r="O622">
        <f>Patient_data[[#This Row],[Appointment_Date]]-Patient_data[[#This Row],[Booking_Date]]</f>
        <v>525</v>
      </c>
    </row>
    <row r="623" spans="1:15" x14ac:dyDescent="0.25">
      <c r="A623">
        <v>1043</v>
      </c>
      <c r="B623">
        <v>38</v>
      </c>
      <c r="C623" t="s">
        <v>1129</v>
      </c>
      <c r="D623" t="s">
        <v>1262</v>
      </c>
      <c r="E623" t="s">
        <v>17</v>
      </c>
      <c r="F623" s="3">
        <v>46047</v>
      </c>
      <c r="G623" s="1">
        <f>YEAR(Patient_data[[#This Row],[Appointment_Date]])</f>
        <v>2026</v>
      </c>
      <c r="H623" s="2" t="str">
        <f>TEXT(Patient_data[[#This Row],[Appointment_Date]],"mmmm")</f>
        <v>January</v>
      </c>
      <c r="I623" s="3" t="str">
        <f>TEXT(Patient_data[[#This Row],[Appointment_Date]],"mmm-yyyy")</f>
        <v>Jan-2026</v>
      </c>
      <c r="J623" s="3">
        <v>45391</v>
      </c>
      <c r="K623" t="s">
        <v>1263</v>
      </c>
      <c r="L623" t="s">
        <v>19</v>
      </c>
      <c r="M623" s="4">
        <v>24.21</v>
      </c>
      <c r="N623" t="s">
        <v>20</v>
      </c>
      <c r="O623">
        <f>Patient_data[[#This Row],[Appointment_Date]]-Patient_data[[#This Row],[Booking_Date]]</f>
        <v>656</v>
      </c>
    </row>
    <row r="624" spans="1:15" x14ac:dyDescent="0.25">
      <c r="A624">
        <v>1045</v>
      </c>
      <c r="B624">
        <v>38</v>
      </c>
      <c r="C624" t="s">
        <v>1129</v>
      </c>
      <c r="D624" t="s">
        <v>1264</v>
      </c>
      <c r="E624" t="s">
        <v>17</v>
      </c>
      <c r="F624" s="3">
        <v>45888</v>
      </c>
      <c r="G624" s="1">
        <f>YEAR(Patient_data[[#This Row],[Appointment_Date]])</f>
        <v>2025</v>
      </c>
      <c r="H624" s="2" t="str">
        <f>TEXT(Patient_data[[#This Row],[Appointment_Date]],"mmmm")</f>
        <v>August</v>
      </c>
      <c r="I624" s="3" t="str">
        <f>TEXT(Patient_data[[#This Row],[Appointment_Date]],"mmm-yyyy")</f>
        <v>Aug-2025</v>
      </c>
      <c r="J624" s="3">
        <v>45817</v>
      </c>
      <c r="K624" t="s">
        <v>1265</v>
      </c>
      <c r="L624" t="s">
        <v>23</v>
      </c>
      <c r="M624" s="4">
        <v>43.78</v>
      </c>
      <c r="N624" t="s">
        <v>24</v>
      </c>
      <c r="O624">
        <f>Patient_data[[#This Row],[Appointment_Date]]-Patient_data[[#This Row],[Booking_Date]]</f>
        <v>71</v>
      </c>
    </row>
    <row r="625" spans="1:15" x14ac:dyDescent="0.25">
      <c r="A625">
        <v>1036</v>
      </c>
      <c r="B625">
        <v>38</v>
      </c>
      <c r="C625" t="s">
        <v>1129</v>
      </c>
      <c r="D625" t="s">
        <v>1266</v>
      </c>
      <c r="E625" t="s">
        <v>28</v>
      </c>
      <c r="F625" s="3">
        <v>45978</v>
      </c>
      <c r="G625" s="1">
        <f>YEAR(Patient_data[[#This Row],[Appointment_Date]])</f>
        <v>2025</v>
      </c>
      <c r="H625" s="2" t="str">
        <f>TEXT(Patient_data[[#This Row],[Appointment_Date]],"mmmm")</f>
        <v>November</v>
      </c>
      <c r="I625" s="3" t="str">
        <f>TEXT(Patient_data[[#This Row],[Appointment_Date]],"mmm-yyyy")</f>
        <v>Nov-2025</v>
      </c>
      <c r="J625" s="3">
        <v>45574</v>
      </c>
      <c r="K625" t="s">
        <v>1267</v>
      </c>
      <c r="L625" t="s">
        <v>19</v>
      </c>
      <c r="M625" s="4">
        <v>1.1000000000000001</v>
      </c>
      <c r="N625" t="s">
        <v>24</v>
      </c>
      <c r="O625">
        <f>Patient_data[[#This Row],[Appointment_Date]]-Patient_data[[#This Row],[Booking_Date]]</f>
        <v>404</v>
      </c>
    </row>
    <row r="626" spans="1:15" x14ac:dyDescent="0.25">
      <c r="A626">
        <v>1080</v>
      </c>
      <c r="B626">
        <v>38</v>
      </c>
      <c r="C626" t="s">
        <v>1129</v>
      </c>
      <c r="D626" t="s">
        <v>1268</v>
      </c>
      <c r="E626" t="s">
        <v>28</v>
      </c>
      <c r="F626" s="3">
        <v>45808</v>
      </c>
      <c r="G626" s="1">
        <f>YEAR(Patient_data[[#This Row],[Appointment_Date]])</f>
        <v>2025</v>
      </c>
      <c r="H626" s="2" t="str">
        <f>TEXT(Patient_data[[#This Row],[Appointment_Date]],"mmmm")</f>
        <v>May</v>
      </c>
      <c r="I626" s="3" t="str">
        <f>TEXT(Patient_data[[#This Row],[Appointment_Date]],"mmm-yyyy")</f>
        <v>May-2025</v>
      </c>
      <c r="J626" s="3">
        <v>45438</v>
      </c>
      <c r="K626" t="s">
        <v>1269</v>
      </c>
      <c r="L626" t="s">
        <v>43</v>
      </c>
      <c r="M626" s="4">
        <v>318.14999999999998</v>
      </c>
      <c r="N626" t="s">
        <v>24</v>
      </c>
      <c r="O626">
        <f>Patient_data[[#This Row],[Appointment_Date]]-Patient_data[[#This Row],[Booking_Date]]</f>
        <v>370</v>
      </c>
    </row>
    <row r="627" spans="1:15" x14ac:dyDescent="0.25">
      <c r="A627">
        <v>1065</v>
      </c>
      <c r="B627">
        <v>38</v>
      </c>
      <c r="C627" t="s">
        <v>1129</v>
      </c>
      <c r="D627" t="s">
        <v>1270</v>
      </c>
      <c r="E627" t="s">
        <v>17</v>
      </c>
      <c r="F627" s="3">
        <v>45806</v>
      </c>
      <c r="G627" s="1">
        <f>YEAR(Patient_data[[#This Row],[Appointment_Date]])</f>
        <v>2025</v>
      </c>
      <c r="H627" s="2" t="str">
        <f>TEXT(Patient_data[[#This Row],[Appointment_Date]],"mmmm")</f>
        <v>May</v>
      </c>
      <c r="I627" s="3" t="str">
        <f>TEXT(Patient_data[[#This Row],[Appointment_Date]],"mmm-yyyy")</f>
        <v>May-2025</v>
      </c>
      <c r="J627" s="3">
        <v>45790</v>
      </c>
      <c r="K627" t="s">
        <v>1271</v>
      </c>
      <c r="L627" t="s">
        <v>30</v>
      </c>
      <c r="M627" s="4">
        <v>6.8</v>
      </c>
      <c r="N627" t="s">
        <v>20</v>
      </c>
      <c r="O627">
        <f>Patient_data[[#This Row],[Appointment_Date]]-Patient_data[[#This Row],[Booking_Date]]</f>
        <v>16</v>
      </c>
    </row>
    <row r="628" spans="1:15" x14ac:dyDescent="0.25">
      <c r="A628">
        <v>1043</v>
      </c>
      <c r="B628">
        <v>38</v>
      </c>
      <c r="C628" t="s">
        <v>1129</v>
      </c>
      <c r="D628" t="s">
        <v>1272</v>
      </c>
      <c r="E628" t="s">
        <v>17</v>
      </c>
      <c r="F628" s="3">
        <v>46050</v>
      </c>
      <c r="G628" s="1">
        <f>YEAR(Patient_data[[#This Row],[Appointment_Date]])</f>
        <v>2026</v>
      </c>
      <c r="H628" s="2" t="str">
        <f>TEXT(Patient_data[[#This Row],[Appointment_Date]],"mmmm")</f>
        <v>January</v>
      </c>
      <c r="I628" s="3" t="str">
        <f>TEXT(Patient_data[[#This Row],[Appointment_Date]],"mmm-yyyy")</f>
        <v>Jan-2026</v>
      </c>
      <c r="J628" s="3">
        <v>45809</v>
      </c>
      <c r="K628" t="s">
        <v>1273</v>
      </c>
      <c r="L628" t="s">
        <v>19</v>
      </c>
      <c r="M628" s="4">
        <v>24.5</v>
      </c>
      <c r="N628" t="s">
        <v>20</v>
      </c>
      <c r="O628">
        <f>Patient_data[[#This Row],[Appointment_Date]]-Patient_data[[#This Row],[Booking_Date]]</f>
        <v>241</v>
      </c>
    </row>
    <row r="629" spans="1:15" x14ac:dyDescent="0.25">
      <c r="A629">
        <v>1033</v>
      </c>
      <c r="B629">
        <v>38</v>
      </c>
      <c r="C629" t="s">
        <v>1129</v>
      </c>
      <c r="D629" t="s">
        <v>1274</v>
      </c>
      <c r="E629" t="s">
        <v>17</v>
      </c>
      <c r="F629" s="3">
        <v>45796</v>
      </c>
      <c r="G629" s="1">
        <f>YEAR(Patient_data[[#This Row],[Appointment_Date]])</f>
        <v>2025</v>
      </c>
      <c r="H629" s="2" t="str">
        <f>TEXT(Patient_data[[#This Row],[Appointment_Date]],"mmmm")</f>
        <v>May</v>
      </c>
      <c r="I629" s="3" t="str">
        <f>TEXT(Patient_data[[#This Row],[Appointment_Date]],"mmm-yyyy")</f>
        <v>May-2025</v>
      </c>
      <c r="J629" s="3">
        <v>45493</v>
      </c>
      <c r="K629" t="s">
        <v>1275</v>
      </c>
      <c r="L629" t="s">
        <v>43</v>
      </c>
      <c r="M629" s="4">
        <v>8.36</v>
      </c>
      <c r="N629" t="s">
        <v>20</v>
      </c>
      <c r="O629">
        <f>Patient_data[[#This Row],[Appointment_Date]]-Patient_data[[#This Row],[Booking_Date]]</f>
        <v>303</v>
      </c>
    </row>
    <row r="630" spans="1:15" x14ac:dyDescent="0.25">
      <c r="A630">
        <v>1012</v>
      </c>
      <c r="B630">
        <v>38</v>
      </c>
      <c r="C630" t="s">
        <v>1129</v>
      </c>
      <c r="D630" t="s">
        <v>1276</v>
      </c>
      <c r="E630" t="s">
        <v>17</v>
      </c>
      <c r="F630" s="3">
        <v>46054</v>
      </c>
      <c r="G630" s="1">
        <f>YEAR(Patient_data[[#This Row],[Appointment_Date]])</f>
        <v>2026</v>
      </c>
      <c r="H630" s="2" t="str">
        <f>TEXT(Patient_data[[#This Row],[Appointment_Date]],"mmmm")</f>
        <v>February</v>
      </c>
      <c r="I630" s="3" t="str">
        <f>TEXT(Patient_data[[#This Row],[Appointment_Date]],"mmm-yyyy")</f>
        <v>Feb-2026</v>
      </c>
      <c r="J630" s="3">
        <v>45398</v>
      </c>
      <c r="K630" t="s">
        <v>1277</v>
      </c>
      <c r="L630" t="s">
        <v>43</v>
      </c>
      <c r="M630" s="4">
        <v>27.54</v>
      </c>
      <c r="N630" t="s">
        <v>20</v>
      </c>
      <c r="O630">
        <f>Patient_data[[#This Row],[Appointment_Date]]-Patient_data[[#This Row],[Booking_Date]]</f>
        <v>656</v>
      </c>
    </row>
    <row r="631" spans="1:15" x14ac:dyDescent="0.25">
      <c r="A631">
        <v>1070</v>
      </c>
      <c r="B631">
        <v>38</v>
      </c>
      <c r="C631" t="s">
        <v>1129</v>
      </c>
      <c r="D631" t="s">
        <v>1278</v>
      </c>
      <c r="E631" t="s">
        <v>28</v>
      </c>
      <c r="F631" s="3">
        <v>45844</v>
      </c>
      <c r="G631" s="1">
        <f>YEAR(Patient_data[[#This Row],[Appointment_Date]])</f>
        <v>2025</v>
      </c>
      <c r="H631" s="2" t="str">
        <f>TEXT(Patient_data[[#This Row],[Appointment_Date]],"mmmm")</f>
        <v>July</v>
      </c>
      <c r="I631" s="3" t="str">
        <f>TEXT(Patient_data[[#This Row],[Appointment_Date]],"mmm-yyyy")</f>
        <v>Jul-2025</v>
      </c>
      <c r="J631" s="3">
        <v>45770</v>
      </c>
      <c r="K631" t="s">
        <v>1279</v>
      </c>
      <c r="L631" t="s">
        <v>19</v>
      </c>
      <c r="M631" s="4">
        <v>90.16</v>
      </c>
      <c r="N631" t="s">
        <v>24</v>
      </c>
      <c r="O631">
        <f>Patient_data[[#This Row],[Appointment_Date]]-Patient_data[[#This Row],[Booking_Date]]</f>
        <v>74</v>
      </c>
    </row>
    <row r="632" spans="1:15" x14ac:dyDescent="0.25">
      <c r="A632">
        <v>1072</v>
      </c>
      <c r="B632">
        <v>38</v>
      </c>
      <c r="C632" t="s">
        <v>1129</v>
      </c>
      <c r="D632" t="s">
        <v>1280</v>
      </c>
      <c r="E632" t="s">
        <v>28</v>
      </c>
      <c r="F632" s="3">
        <v>45958</v>
      </c>
      <c r="G632" s="1">
        <f>YEAR(Patient_data[[#This Row],[Appointment_Date]])</f>
        <v>2025</v>
      </c>
      <c r="H632" s="2" t="str">
        <f>TEXT(Patient_data[[#This Row],[Appointment_Date]],"mmmm")</f>
        <v>October</v>
      </c>
      <c r="I632" s="3" t="str">
        <f>TEXT(Patient_data[[#This Row],[Appointment_Date]],"mmm-yyyy")</f>
        <v>Oct-2025</v>
      </c>
      <c r="J632" s="3">
        <v>45638</v>
      </c>
      <c r="K632" t="s">
        <v>1281</v>
      </c>
      <c r="L632" t="s">
        <v>23</v>
      </c>
      <c r="M632" s="4">
        <v>279.32</v>
      </c>
      <c r="N632" t="s">
        <v>20</v>
      </c>
      <c r="O632">
        <f>Patient_data[[#This Row],[Appointment_Date]]-Patient_data[[#This Row],[Booking_Date]]</f>
        <v>320</v>
      </c>
    </row>
    <row r="633" spans="1:15" x14ac:dyDescent="0.25">
      <c r="A633">
        <v>1053</v>
      </c>
      <c r="B633">
        <v>37</v>
      </c>
      <c r="C633" t="s">
        <v>1129</v>
      </c>
      <c r="D633" t="s">
        <v>195</v>
      </c>
      <c r="E633" t="s">
        <v>28</v>
      </c>
      <c r="F633" s="3">
        <v>45915</v>
      </c>
      <c r="G633" s="1">
        <f>YEAR(Patient_data[[#This Row],[Appointment_Date]])</f>
        <v>2025</v>
      </c>
      <c r="H633" s="2" t="str">
        <f>TEXT(Patient_data[[#This Row],[Appointment_Date]],"mmmm")</f>
        <v>September</v>
      </c>
      <c r="I633" s="3" t="str">
        <f>TEXT(Patient_data[[#This Row],[Appointment_Date]],"mmm-yyyy")</f>
        <v>Sep-2025</v>
      </c>
      <c r="J633" s="3">
        <v>45421</v>
      </c>
      <c r="K633" t="s">
        <v>1282</v>
      </c>
      <c r="L633" t="s">
        <v>43</v>
      </c>
      <c r="M633" s="4">
        <v>42.77</v>
      </c>
      <c r="N633" t="s">
        <v>20</v>
      </c>
      <c r="O633">
        <f>Patient_data[[#This Row],[Appointment_Date]]-Patient_data[[#This Row],[Booking_Date]]</f>
        <v>494</v>
      </c>
    </row>
    <row r="634" spans="1:15" x14ac:dyDescent="0.25">
      <c r="A634">
        <v>1015</v>
      </c>
      <c r="B634">
        <v>37</v>
      </c>
      <c r="C634" t="s">
        <v>1129</v>
      </c>
      <c r="D634" t="s">
        <v>1283</v>
      </c>
      <c r="E634" t="s">
        <v>17</v>
      </c>
      <c r="F634" s="3">
        <v>45857</v>
      </c>
      <c r="G634" s="1">
        <f>YEAR(Patient_data[[#This Row],[Appointment_Date]])</f>
        <v>2025</v>
      </c>
      <c r="H634" s="2" t="str">
        <f>TEXT(Patient_data[[#This Row],[Appointment_Date]],"mmmm")</f>
        <v>July</v>
      </c>
      <c r="I634" s="3" t="str">
        <f>TEXT(Patient_data[[#This Row],[Appointment_Date]],"mmm-yyyy")</f>
        <v>Jul-2025</v>
      </c>
      <c r="J634" s="3">
        <v>45453</v>
      </c>
      <c r="K634" t="s">
        <v>1284</v>
      </c>
      <c r="L634" t="s">
        <v>43</v>
      </c>
      <c r="M634" s="4">
        <v>425.63</v>
      </c>
      <c r="N634" t="s">
        <v>20</v>
      </c>
      <c r="O634">
        <f>Patient_data[[#This Row],[Appointment_Date]]-Patient_data[[#This Row],[Booking_Date]]</f>
        <v>404</v>
      </c>
    </row>
    <row r="635" spans="1:15" x14ac:dyDescent="0.25">
      <c r="A635">
        <v>1072</v>
      </c>
      <c r="B635">
        <v>37</v>
      </c>
      <c r="C635" t="s">
        <v>1129</v>
      </c>
      <c r="D635" t="s">
        <v>1285</v>
      </c>
      <c r="E635" t="s">
        <v>17</v>
      </c>
      <c r="F635" s="3">
        <v>45883</v>
      </c>
      <c r="G635" s="1">
        <f>YEAR(Patient_data[[#This Row],[Appointment_Date]])</f>
        <v>2025</v>
      </c>
      <c r="H635" s="2" t="str">
        <f>TEXT(Patient_data[[#This Row],[Appointment_Date]],"mmmm")</f>
        <v>August</v>
      </c>
      <c r="I635" s="3" t="str">
        <f>TEXT(Patient_data[[#This Row],[Appointment_Date]],"mmm-yyyy")</f>
        <v>Aug-2025</v>
      </c>
      <c r="J635" s="3">
        <v>45880</v>
      </c>
      <c r="K635" t="s">
        <v>1286</v>
      </c>
      <c r="L635" t="s">
        <v>30</v>
      </c>
      <c r="M635" s="4">
        <v>38.81</v>
      </c>
      <c r="N635" t="s">
        <v>20</v>
      </c>
      <c r="O635">
        <f>Patient_data[[#This Row],[Appointment_Date]]-Patient_data[[#This Row],[Booking_Date]]</f>
        <v>3</v>
      </c>
    </row>
    <row r="636" spans="1:15" x14ac:dyDescent="0.25">
      <c r="A636">
        <v>1082</v>
      </c>
      <c r="B636">
        <v>37</v>
      </c>
      <c r="C636" t="s">
        <v>1129</v>
      </c>
      <c r="D636" t="s">
        <v>1287</v>
      </c>
      <c r="E636" t="s">
        <v>17</v>
      </c>
      <c r="F636" s="3">
        <v>45978</v>
      </c>
      <c r="G636" s="1">
        <f>YEAR(Patient_data[[#This Row],[Appointment_Date]])</f>
        <v>2025</v>
      </c>
      <c r="H636" s="2" t="str">
        <f>TEXT(Patient_data[[#This Row],[Appointment_Date]],"mmmm")</f>
        <v>November</v>
      </c>
      <c r="I636" s="3" t="str">
        <f>TEXT(Patient_data[[#This Row],[Appointment_Date]],"mmm-yyyy")</f>
        <v>Nov-2025</v>
      </c>
      <c r="J636" s="3">
        <v>45664</v>
      </c>
      <c r="K636" t="s">
        <v>1288</v>
      </c>
      <c r="L636" t="s">
        <v>43</v>
      </c>
      <c r="M636" s="4">
        <v>48.6</v>
      </c>
      <c r="N636" t="s">
        <v>20</v>
      </c>
      <c r="O636">
        <f>Patient_data[[#This Row],[Appointment_Date]]-Patient_data[[#This Row],[Booking_Date]]</f>
        <v>314</v>
      </c>
    </row>
    <row r="637" spans="1:15" x14ac:dyDescent="0.25">
      <c r="A637">
        <v>1034</v>
      </c>
      <c r="B637">
        <v>37</v>
      </c>
      <c r="C637" t="s">
        <v>1129</v>
      </c>
      <c r="D637" t="s">
        <v>1289</v>
      </c>
      <c r="E637" t="s">
        <v>17</v>
      </c>
      <c r="F637" s="3">
        <v>45939</v>
      </c>
      <c r="G637" s="1">
        <f>YEAR(Patient_data[[#This Row],[Appointment_Date]])</f>
        <v>2025</v>
      </c>
      <c r="H637" s="2" t="str">
        <f>TEXT(Patient_data[[#This Row],[Appointment_Date]],"mmmm")</f>
        <v>October</v>
      </c>
      <c r="I637" s="3" t="str">
        <f>TEXT(Patient_data[[#This Row],[Appointment_Date]],"mmm-yyyy")</f>
        <v>Oct-2025</v>
      </c>
      <c r="J637" s="3">
        <v>45752</v>
      </c>
      <c r="K637" t="s">
        <v>1290</v>
      </c>
      <c r="L637" t="s">
        <v>19</v>
      </c>
      <c r="M637" s="4">
        <v>71.489999999999995</v>
      </c>
      <c r="N637" t="s">
        <v>20</v>
      </c>
      <c r="O637">
        <f>Patient_data[[#This Row],[Appointment_Date]]-Patient_data[[#This Row],[Booking_Date]]</f>
        <v>187</v>
      </c>
    </row>
    <row r="638" spans="1:15" x14ac:dyDescent="0.25">
      <c r="A638">
        <v>1095</v>
      </c>
      <c r="B638">
        <v>37</v>
      </c>
      <c r="C638" t="s">
        <v>1129</v>
      </c>
      <c r="D638" t="s">
        <v>1291</v>
      </c>
      <c r="E638" t="s">
        <v>28</v>
      </c>
      <c r="F638" s="3">
        <v>45914</v>
      </c>
      <c r="G638" s="1">
        <f>YEAR(Patient_data[[#This Row],[Appointment_Date]])</f>
        <v>2025</v>
      </c>
      <c r="H638" s="2" t="str">
        <f>TEXT(Patient_data[[#This Row],[Appointment_Date]],"mmmm")</f>
        <v>September</v>
      </c>
      <c r="I638" s="3" t="str">
        <f>TEXT(Patient_data[[#This Row],[Appointment_Date]],"mmm-yyyy")</f>
        <v>Sep-2025</v>
      </c>
      <c r="J638" s="3">
        <v>45432</v>
      </c>
      <c r="K638" t="s">
        <v>1292</v>
      </c>
      <c r="L638" t="s">
        <v>43</v>
      </c>
      <c r="M638" s="4">
        <v>72.569999999999993</v>
      </c>
      <c r="N638" t="s">
        <v>24</v>
      </c>
      <c r="O638">
        <f>Patient_data[[#This Row],[Appointment_Date]]-Patient_data[[#This Row],[Booking_Date]]</f>
        <v>482</v>
      </c>
    </row>
    <row r="639" spans="1:15" x14ac:dyDescent="0.25">
      <c r="A639">
        <v>1090</v>
      </c>
      <c r="B639">
        <v>37</v>
      </c>
      <c r="C639" t="s">
        <v>1129</v>
      </c>
      <c r="D639" t="s">
        <v>1293</v>
      </c>
      <c r="E639" t="s">
        <v>17</v>
      </c>
      <c r="F639" s="3">
        <v>46081</v>
      </c>
      <c r="G639" s="1">
        <f>YEAR(Patient_data[[#This Row],[Appointment_Date]])</f>
        <v>2026</v>
      </c>
      <c r="H639" s="2" t="str">
        <f>TEXT(Patient_data[[#This Row],[Appointment_Date]],"mmmm")</f>
        <v>February</v>
      </c>
      <c r="I639" s="3" t="str">
        <f>TEXT(Patient_data[[#This Row],[Appointment_Date]],"mmm-yyyy")</f>
        <v>Feb-2026</v>
      </c>
      <c r="J639" s="3">
        <v>45400</v>
      </c>
      <c r="K639" t="s">
        <v>1294</v>
      </c>
      <c r="L639" t="s">
        <v>23</v>
      </c>
      <c r="M639" s="4">
        <v>77.2</v>
      </c>
      <c r="N639" t="s">
        <v>20</v>
      </c>
      <c r="O639">
        <f>Patient_data[[#This Row],[Appointment_Date]]-Patient_data[[#This Row],[Booking_Date]]</f>
        <v>681</v>
      </c>
    </row>
    <row r="640" spans="1:15" x14ac:dyDescent="0.25">
      <c r="A640">
        <v>1061</v>
      </c>
      <c r="B640">
        <v>37</v>
      </c>
      <c r="C640" t="s">
        <v>1129</v>
      </c>
      <c r="D640" t="s">
        <v>1295</v>
      </c>
      <c r="E640" t="s">
        <v>17</v>
      </c>
      <c r="F640" s="3">
        <v>45947</v>
      </c>
      <c r="G640" s="1">
        <f>YEAR(Patient_data[[#This Row],[Appointment_Date]])</f>
        <v>2025</v>
      </c>
      <c r="H640" s="2" t="str">
        <f>TEXT(Patient_data[[#This Row],[Appointment_Date]],"mmmm")</f>
        <v>October</v>
      </c>
      <c r="I640" s="3" t="str">
        <f>TEXT(Patient_data[[#This Row],[Appointment_Date]],"mmm-yyyy")</f>
        <v>Oct-2025</v>
      </c>
      <c r="J640" s="3">
        <v>45754</v>
      </c>
      <c r="K640" t="s">
        <v>1296</v>
      </c>
      <c r="L640" t="s">
        <v>43</v>
      </c>
      <c r="M640" s="4">
        <v>90.81</v>
      </c>
      <c r="N640" t="s">
        <v>20</v>
      </c>
      <c r="O640">
        <f>Patient_data[[#This Row],[Appointment_Date]]-Patient_data[[#This Row],[Booking_Date]]</f>
        <v>193</v>
      </c>
    </row>
    <row r="641" spans="1:15" x14ac:dyDescent="0.25">
      <c r="A641">
        <v>1068</v>
      </c>
      <c r="B641">
        <v>37</v>
      </c>
      <c r="C641" t="s">
        <v>1129</v>
      </c>
      <c r="D641" t="s">
        <v>1297</v>
      </c>
      <c r="E641" t="s">
        <v>17</v>
      </c>
      <c r="F641" s="3">
        <v>45979</v>
      </c>
      <c r="G641" s="1">
        <f>YEAR(Patient_data[[#This Row],[Appointment_Date]])</f>
        <v>2025</v>
      </c>
      <c r="H641" s="2" t="str">
        <f>TEXT(Patient_data[[#This Row],[Appointment_Date]],"mmmm")</f>
        <v>November</v>
      </c>
      <c r="I641" s="3" t="str">
        <f>TEXT(Patient_data[[#This Row],[Appointment_Date]],"mmm-yyyy")</f>
        <v>Nov-2025</v>
      </c>
      <c r="J641" s="3">
        <v>45614</v>
      </c>
      <c r="K641" t="s">
        <v>1298</v>
      </c>
      <c r="L641" t="s">
        <v>30</v>
      </c>
      <c r="M641" s="4">
        <v>356.13</v>
      </c>
      <c r="N641" t="s">
        <v>24</v>
      </c>
      <c r="O641">
        <f>Patient_data[[#This Row],[Appointment_Date]]-Patient_data[[#This Row],[Booking_Date]]</f>
        <v>365</v>
      </c>
    </row>
    <row r="642" spans="1:15" x14ac:dyDescent="0.25">
      <c r="A642">
        <v>1021</v>
      </c>
      <c r="B642">
        <v>37</v>
      </c>
      <c r="C642" t="s">
        <v>1129</v>
      </c>
      <c r="D642" t="s">
        <v>1299</v>
      </c>
      <c r="E642" t="s">
        <v>17</v>
      </c>
      <c r="F642" s="3">
        <v>45918</v>
      </c>
      <c r="G642" s="1">
        <f>YEAR(Patient_data[[#This Row],[Appointment_Date]])</f>
        <v>2025</v>
      </c>
      <c r="H642" s="2" t="str">
        <f>TEXT(Patient_data[[#This Row],[Appointment_Date]],"mmmm")</f>
        <v>September</v>
      </c>
      <c r="I642" s="3" t="str">
        <f>TEXT(Patient_data[[#This Row],[Appointment_Date]],"mmm-yyyy")</f>
        <v>Sep-2025</v>
      </c>
      <c r="J642" s="3">
        <v>45613</v>
      </c>
      <c r="K642" t="s">
        <v>1300</v>
      </c>
      <c r="L642" t="s">
        <v>30</v>
      </c>
      <c r="M642" s="4">
        <v>36.909999999999997</v>
      </c>
      <c r="N642" t="s">
        <v>20</v>
      </c>
      <c r="O642">
        <f>Patient_data[[#This Row],[Appointment_Date]]-Patient_data[[#This Row],[Booking_Date]]</f>
        <v>305</v>
      </c>
    </row>
    <row r="643" spans="1:15" x14ac:dyDescent="0.25">
      <c r="A643">
        <v>1058</v>
      </c>
      <c r="B643">
        <v>37</v>
      </c>
      <c r="C643" t="s">
        <v>1129</v>
      </c>
      <c r="D643" t="s">
        <v>1301</v>
      </c>
      <c r="E643" t="s">
        <v>28</v>
      </c>
      <c r="F643" s="3">
        <v>46057</v>
      </c>
      <c r="G643" s="1">
        <f>YEAR(Patient_data[[#This Row],[Appointment_Date]])</f>
        <v>2026</v>
      </c>
      <c r="H643" s="2" t="str">
        <f>TEXT(Patient_data[[#This Row],[Appointment_Date]],"mmmm")</f>
        <v>February</v>
      </c>
      <c r="I643" s="3" t="str">
        <f>TEXT(Patient_data[[#This Row],[Appointment_Date]],"mmm-yyyy")</f>
        <v>Feb-2026</v>
      </c>
      <c r="J643" s="3">
        <v>45971</v>
      </c>
      <c r="K643" t="s">
        <v>1302</v>
      </c>
      <c r="L643" t="s">
        <v>43</v>
      </c>
      <c r="M643" s="4">
        <v>59.19</v>
      </c>
      <c r="N643" t="s">
        <v>24</v>
      </c>
      <c r="O643">
        <f>Patient_data[[#This Row],[Appointment_Date]]-Patient_data[[#This Row],[Booking_Date]]</f>
        <v>86</v>
      </c>
    </row>
    <row r="644" spans="1:15" x14ac:dyDescent="0.25">
      <c r="A644">
        <v>1009</v>
      </c>
      <c r="B644">
        <v>37</v>
      </c>
      <c r="C644" t="s">
        <v>1129</v>
      </c>
      <c r="D644" t="s">
        <v>1303</v>
      </c>
      <c r="E644" t="s">
        <v>17</v>
      </c>
      <c r="F644" s="3">
        <v>45861</v>
      </c>
      <c r="G644" s="1">
        <f>YEAR(Patient_data[[#This Row],[Appointment_Date]])</f>
        <v>2025</v>
      </c>
      <c r="H644" s="2" t="str">
        <f>TEXT(Patient_data[[#This Row],[Appointment_Date]],"mmmm")</f>
        <v>July</v>
      </c>
      <c r="I644" s="3" t="str">
        <f>TEXT(Patient_data[[#This Row],[Appointment_Date]],"mmm-yyyy")</f>
        <v>Jul-2025</v>
      </c>
      <c r="J644" s="3">
        <v>45730</v>
      </c>
      <c r="K644" t="s">
        <v>1304</v>
      </c>
      <c r="L644" t="s">
        <v>30</v>
      </c>
      <c r="M644" s="4">
        <v>9.3800000000000008</v>
      </c>
      <c r="N644" t="s">
        <v>20</v>
      </c>
      <c r="O644">
        <f>Patient_data[[#This Row],[Appointment_Date]]-Patient_data[[#This Row],[Booking_Date]]</f>
        <v>131</v>
      </c>
    </row>
    <row r="645" spans="1:15" x14ac:dyDescent="0.25">
      <c r="A645">
        <v>1082</v>
      </c>
      <c r="B645">
        <v>37</v>
      </c>
      <c r="C645" t="s">
        <v>1129</v>
      </c>
      <c r="D645" t="s">
        <v>1305</v>
      </c>
      <c r="E645" t="s">
        <v>17</v>
      </c>
      <c r="F645" s="3">
        <v>45766</v>
      </c>
      <c r="G645" s="1">
        <f>YEAR(Patient_data[[#This Row],[Appointment_Date]])</f>
        <v>2025</v>
      </c>
      <c r="H645" s="2" t="str">
        <f>TEXT(Patient_data[[#This Row],[Appointment_Date]],"mmmm")</f>
        <v>April</v>
      </c>
      <c r="I645" s="3" t="str">
        <f>TEXT(Patient_data[[#This Row],[Appointment_Date]],"mmm-yyyy")</f>
        <v>Apr-2025</v>
      </c>
      <c r="J645" s="3">
        <v>45411</v>
      </c>
      <c r="K645" t="s">
        <v>1306</v>
      </c>
      <c r="L645" t="s">
        <v>43</v>
      </c>
      <c r="M645" s="4">
        <v>81.150000000000006</v>
      </c>
      <c r="N645" t="s">
        <v>20</v>
      </c>
      <c r="O645">
        <f>Patient_data[[#This Row],[Appointment_Date]]-Patient_data[[#This Row],[Booking_Date]]</f>
        <v>355</v>
      </c>
    </row>
    <row r="646" spans="1:15" x14ac:dyDescent="0.25">
      <c r="A646">
        <v>1046</v>
      </c>
      <c r="B646">
        <v>36</v>
      </c>
      <c r="C646" t="s">
        <v>1129</v>
      </c>
      <c r="D646" t="s">
        <v>1307</v>
      </c>
      <c r="E646" t="s">
        <v>28</v>
      </c>
      <c r="F646" s="3">
        <v>46093</v>
      </c>
      <c r="G646" s="1">
        <f>YEAR(Patient_data[[#This Row],[Appointment_Date]])</f>
        <v>2026</v>
      </c>
      <c r="H646" s="2" t="str">
        <f>TEXT(Patient_data[[#This Row],[Appointment_Date]],"mmmm")</f>
        <v>March</v>
      </c>
      <c r="I646" s="3" t="str">
        <f>TEXT(Patient_data[[#This Row],[Appointment_Date]],"mmm-yyyy")</f>
        <v>Mar-2026</v>
      </c>
      <c r="J646" s="3">
        <v>45969</v>
      </c>
      <c r="K646" t="s">
        <v>1308</v>
      </c>
      <c r="L646" t="s">
        <v>30</v>
      </c>
      <c r="M646" s="4">
        <v>7.51</v>
      </c>
      <c r="N646" t="s">
        <v>20</v>
      </c>
      <c r="O646">
        <f>Patient_data[[#This Row],[Appointment_Date]]-Patient_data[[#This Row],[Booking_Date]]</f>
        <v>124</v>
      </c>
    </row>
    <row r="647" spans="1:15" x14ac:dyDescent="0.25">
      <c r="A647">
        <v>1016</v>
      </c>
      <c r="B647">
        <v>36</v>
      </c>
      <c r="C647" t="s">
        <v>1129</v>
      </c>
      <c r="D647" t="s">
        <v>1309</v>
      </c>
      <c r="E647" t="s">
        <v>28</v>
      </c>
      <c r="F647" s="3">
        <v>45996</v>
      </c>
      <c r="G647" s="1">
        <f>YEAR(Patient_data[[#This Row],[Appointment_Date]])</f>
        <v>2025</v>
      </c>
      <c r="H647" s="2" t="str">
        <f>TEXT(Patient_data[[#This Row],[Appointment_Date]],"mmmm")</f>
        <v>December</v>
      </c>
      <c r="I647" s="3" t="str">
        <f>TEXT(Patient_data[[#This Row],[Appointment_Date]],"mmm-yyyy")</f>
        <v>Dec-2025</v>
      </c>
      <c r="J647" s="3">
        <v>45458</v>
      </c>
      <c r="K647" t="s">
        <v>1310</v>
      </c>
      <c r="L647" t="s">
        <v>19</v>
      </c>
      <c r="M647" s="4">
        <v>8.6</v>
      </c>
      <c r="N647" t="s">
        <v>20</v>
      </c>
      <c r="O647">
        <f>Patient_data[[#This Row],[Appointment_Date]]-Patient_data[[#This Row],[Booking_Date]]</f>
        <v>538</v>
      </c>
    </row>
    <row r="648" spans="1:15" x14ac:dyDescent="0.25">
      <c r="A648">
        <v>1063</v>
      </c>
      <c r="B648">
        <v>36</v>
      </c>
      <c r="C648" t="s">
        <v>1129</v>
      </c>
      <c r="D648" t="s">
        <v>1311</v>
      </c>
      <c r="E648" t="s">
        <v>17</v>
      </c>
      <c r="F648" s="3">
        <v>45932</v>
      </c>
      <c r="G648" s="1">
        <f>YEAR(Patient_data[[#This Row],[Appointment_Date]])</f>
        <v>2025</v>
      </c>
      <c r="H648" s="2" t="str">
        <f>TEXT(Patient_data[[#This Row],[Appointment_Date]],"mmmm")</f>
        <v>October</v>
      </c>
      <c r="I648" s="3" t="str">
        <f>TEXT(Patient_data[[#This Row],[Appointment_Date]],"mmm-yyyy")</f>
        <v>Oct-2025</v>
      </c>
      <c r="J648" s="3">
        <v>45912</v>
      </c>
      <c r="K648" t="s">
        <v>1312</v>
      </c>
      <c r="L648" t="s">
        <v>23</v>
      </c>
      <c r="M648" s="4">
        <v>239.5</v>
      </c>
      <c r="N648" t="s">
        <v>24</v>
      </c>
      <c r="O648">
        <f>Patient_data[[#This Row],[Appointment_Date]]-Patient_data[[#This Row],[Booking_Date]]</f>
        <v>20</v>
      </c>
    </row>
    <row r="649" spans="1:15" x14ac:dyDescent="0.25">
      <c r="A649">
        <v>1058</v>
      </c>
      <c r="B649">
        <v>36</v>
      </c>
      <c r="C649" t="s">
        <v>1129</v>
      </c>
      <c r="D649" t="s">
        <v>1313</v>
      </c>
      <c r="E649" t="s">
        <v>28</v>
      </c>
      <c r="F649" s="3">
        <v>46011</v>
      </c>
      <c r="G649" s="1">
        <f>YEAR(Patient_data[[#This Row],[Appointment_Date]])</f>
        <v>2025</v>
      </c>
      <c r="H649" s="2" t="str">
        <f>TEXT(Patient_data[[#This Row],[Appointment_Date]],"mmmm")</f>
        <v>December</v>
      </c>
      <c r="I649" s="3" t="str">
        <f>TEXT(Patient_data[[#This Row],[Appointment_Date]],"mmm-yyyy")</f>
        <v>Dec-2025</v>
      </c>
      <c r="J649" s="3">
        <v>45378</v>
      </c>
      <c r="K649" t="s">
        <v>1314</v>
      </c>
      <c r="L649" t="s">
        <v>23</v>
      </c>
      <c r="M649" s="4">
        <v>386.16</v>
      </c>
      <c r="N649" t="s">
        <v>24</v>
      </c>
      <c r="O649">
        <f>Patient_data[[#This Row],[Appointment_Date]]-Patient_data[[#This Row],[Booking_Date]]</f>
        <v>633</v>
      </c>
    </row>
    <row r="650" spans="1:15" x14ac:dyDescent="0.25">
      <c r="A650">
        <v>1086</v>
      </c>
      <c r="B650">
        <v>36</v>
      </c>
      <c r="C650" t="s">
        <v>1129</v>
      </c>
      <c r="D650" t="s">
        <v>1315</v>
      </c>
      <c r="E650" t="s">
        <v>17</v>
      </c>
      <c r="F650" s="3">
        <v>46098</v>
      </c>
      <c r="G650" s="1">
        <f>YEAR(Patient_data[[#This Row],[Appointment_Date]])</f>
        <v>2026</v>
      </c>
      <c r="H650" s="2" t="str">
        <f>TEXT(Patient_data[[#This Row],[Appointment_Date]],"mmmm")</f>
        <v>March</v>
      </c>
      <c r="I650" s="3" t="str">
        <f>TEXT(Patient_data[[#This Row],[Appointment_Date]],"mmm-yyyy")</f>
        <v>Mar-2026</v>
      </c>
      <c r="J650" s="3">
        <v>45529</v>
      </c>
      <c r="K650" t="s">
        <v>1316</v>
      </c>
      <c r="L650" t="s">
        <v>43</v>
      </c>
      <c r="M650" s="4">
        <v>8.0299999999999994</v>
      </c>
      <c r="N650" t="s">
        <v>20</v>
      </c>
      <c r="O650">
        <f>Patient_data[[#This Row],[Appointment_Date]]-Patient_data[[#This Row],[Booking_Date]]</f>
        <v>569</v>
      </c>
    </row>
    <row r="651" spans="1:15" x14ac:dyDescent="0.25">
      <c r="A651">
        <v>1023</v>
      </c>
      <c r="B651">
        <v>36</v>
      </c>
      <c r="C651" t="s">
        <v>1129</v>
      </c>
      <c r="D651" t="s">
        <v>1317</v>
      </c>
      <c r="E651" t="s">
        <v>28</v>
      </c>
      <c r="F651" s="3">
        <v>45943</v>
      </c>
      <c r="G651" s="1">
        <f>YEAR(Patient_data[[#This Row],[Appointment_Date]])</f>
        <v>2025</v>
      </c>
      <c r="H651" s="2" t="str">
        <f>TEXT(Patient_data[[#This Row],[Appointment_Date]],"mmmm")</f>
        <v>October</v>
      </c>
      <c r="I651" s="3" t="str">
        <f>TEXT(Patient_data[[#This Row],[Appointment_Date]],"mmm-yyyy")</f>
        <v>Oct-2025</v>
      </c>
      <c r="J651" s="3">
        <v>45665</v>
      </c>
      <c r="K651" t="s">
        <v>1318</v>
      </c>
      <c r="L651" t="s">
        <v>30</v>
      </c>
      <c r="M651" s="4">
        <v>1.29</v>
      </c>
      <c r="N651" t="s">
        <v>20</v>
      </c>
      <c r="O651">
        <f>Patient_data[[#This Row],[Appointment_Date]]-Patient_data[[#This Row],[Booking_Date]]</f>
        <v>278</v>
      </c>
    </row>
    <row r="652" spans="1:15" x14ac:dyDescent="0.25">
      <c r="A652">
        <v>1012</v>
      </c>
      <c r="B652">
        <v>36</v>
      </c>
      <c r="C652" t="s">
        <v>1129</v>
      </c>
      <c r="D652" t="s">
        <v>1319</v>
      </c>
      <c r="E652" t="s">
        <v>28</v>
      </c>
      <c r="F652" s="3">
        <v>46106</v>
      </c>
      <c r="G652" s="1">
        <f>YEAR(Patient_data[[#This Row],[Appointment_Date]])</f>
        <v>2026</v>
      </c>
      <c r="H652" s="2" t="str">
        <f>TEXT(Patient_data[[#This Row],[Appointment_Date]],"mmmm")</f>
        <v>March</v>
      </c>
      <c r="I652" s="3" t="str">
        <f>TEXT(Patient_data[[#This Row],[Appointment_Date]],"mmm-yyyy")</f>
        <v>Mar-2026</v>
      </c>
      <c r="J652" s="3">
        <v>45415</v>
      </c>
      <c r="K652" t="s">
        <v>1320</v>
      </c>
      <c r="L652" t="s">
        <v>30</v>
      </c>
      <c r="M652" s="4">
        <v>7.99</v>
      </c>
      <c r="N652" t="s">
        <v>20</v>
      </c>
      <c r="O652">
        <f>Patient_data[[#This Row],[Appointment_Date]]-Patient_data[[#This Row],[Booking_Date]]</f>
        <v>691</v>
      </c>
    </row>
    <row r="653" spans="1:15" x14ac:dyDescent="0.25">
      <c r="A653">
        <v>1004</v>
      </c>
      <c r="B653">
        <v>36</v>
      </c>
      <c r="C653" t="s">
        <v>1129</v>
      </c>
      <c r="D653" t="s">
        <v>1321</v>
      </c>
      <c r="E653" t="s">
        <v>17</v>
      </c>
      <c r="F653" s="3">
        <v>46047</v>
      </c>
      <c r="G653" s="1">
        <f>YEAR(Patient_data[[#This Row],[Appointment_Date]])</f>
        <v>2026</v>
      </c>
      <c r="H653" s="2" t="str">
        <f>TEXT(Patient_data[[#This Row],[Appointment_Date]],"mmmm")</f>
        <v>January</v>
      </c>
      <c r="I653" s="3" t="str">
        <f>TEXT(Patient_data[[#This Row],[Appointment_Date]],"mmm-yyyy")</f>
        <v>Jan-2026</v>
      </c>
      <c r="J653" s="3">
        <v>45595</v>
      </c>
      <c r="K653" t="s">
        <v>1322</v>
      </c>
      <c r="L653" t="s">
        <v>30</v>
      </c>
      <c r="M653" s="4">
        <v>59.21</v>
      </c>
      <c r="N653" t="s">
        <v>24</v>
      </c>
      <c r="O653">
        <f>Patient_data[[#This Row],[Appointment_Date]]-Patient_data[[#This Row],[Booking_Date]]</f>
        <v>452</v>
      </c>
    </row>
    <row r="654" spans="1:15" x14ac:dyDescent="0.25">
      <c r="A654">
        <v>1066</v>
      </c>
      <c r="B654">
        <v>36</v>
      </c>
      <c r="C654" t="s">
        <v>1129</v>
      </c>
      <c r="D654" t="s">
        <v>1323</v>
      </c>
      <c r="E654" t="s">
        <v>17</v>
      </c>
      <c r="F654" s="3">
        <v>46033</v>
      </c>
      <c r="G654" s="1">
        <f>YEAR(Patient_data[[#This Row],[Appointment_Date]])</f>
        <v>2026</v>
      </c>
      <c r="H654" s="2" t="str">
        <f>TEXT(Patient_data[[#This Row],[Appointment_Date]],"mmmm")</f>
        <v>January</v>
      </c>
      <c r="I654" s="3" t="str">
        <f>TEXT(Patient_data[[#This Row],[Appointment_Date]],"mmm-yyyy")</f>
        <v>Jan-2026</v>
      </c>
      <c r="J654" s="3">
        <v>45930</v>
      </c>
      <c r="K654" t="s">
        <v>1324</v>
      </c>
      <c r="L654" t="s">
        <v>30</v>
      </c>
      <c r="M654" s="4">
        <v>30.9</v>
      </c>
      <c r="N654" t="s">
        <v>20</v>
      </c>
      <c r="O654">
        <f>Patient_data[[#This Row],[Appointment_Date]]-Patient_data[[#This Row],[Booking_Date]]</f>
        <v>103</v>
      </c>
    </row>
    <row r="655" spans="1:15" x14ac:dyDescent="0.25">
      <c r="A655">
        <v>1047</v>
      </c>
      <c r="B655">
        <v>36</v>
      </c>
      <c r="C655" t="s">
        <v>1129</v>
      </c>
      <c r="D655" t="s">
        <v>1325</v>
      </c>
      <c r="E655" t="s">
        <v>28</v>
      </c>
      <c r="F655" s="3">
        <v>46043</v>
      </c>
      <c r="G655" s="1">
        <f>YEAR(Patient_data[[#This Row],[Appointment_Date]])</f>
        <v>2026</v>
      </c>
      <c r="H655" s="2" t="str">
        <f>TEXT(Patient_data[[#This Row],[Appointment_Date]],"mmmm")</f>
        <v>January</v>
      </c>
      <c r="I655" s="3" t="str">
        <f>TEXT(Patient_data[[#This Row],[Appointment_Date]],"mmm-yyyy")</f>
        <v>Jan-2026</v>
      </c>
      <c r="J655" s="3">
        <v>45663</v>
      </c>
      <c r="K655" t="s">
        <v>1326</v>
      </c>
      <c r="L655" t="s">
        <v>43</v>
      </c>
      <c r="M655" s="4">
        <v>240.37</v>
      </c>
      <c r="N655" t="s">
        <v>20</v>
      </c>
      <c r="O655">
        <f>Patient_data[[#This Row],[Appointment_Date]]-Patient_data[[#This Row],[Booking_Date]]</f>
        <v>380</v>
      </c>
    </row>
    <row r="656" spans="1:15" x14ac:dyDescent="0.25">
      <c r="A656">
        <v>1055</v>
      </c>
      <c r="B656">
        <v>35</v>
      </c>
      <c r="C656" t="s">
        <v>1129</v>
      </c>
      <c r="D656" t="s">
        <v>1327</v>
      </c>
      <c r="E656" t="s">
        <v>17</v>
      </c>
      <c r="F656" s="3">
        <v>45801</v>
      </c>
      <c r="G656" s="1">
        <f>YEAR(Patient_data[[#This Row],[Appointment_Date]])</f>
        <v>2025</v>
      </c>
      <c r="H656" s="2" t="str">
        <f>TEXT(Patient_data[[#This Row],[Appointment_Date]],"mmmm")</f>
        <v>May</v>
      </c>
      <c r="I656" s="3" t="str">
        <f>TEXT(Patient_data[[#This Row],[Appointment_Date]],"mmm-yyyy")</f>
        <v>May-2025</v>
      </c>
      <c r="J656" s="3">
        <v>45491</v>
      </c>
      <c r="K656" t="s">
        <v>1328</v>
      </c>
      <c r="L656" t="s">
        <v>43</v>
      </c>
      <c r="M656" s="4">
        <v>452.11</v>
      </c>
      <c r="N656" t="s">
        <v>24</v>
      </c>
      <c r="O656">
        <f>Patient_data[[#This Row],[Appointment_Date]]-Patient_data[[#This Row],[Booking_Date]]</f>
        <v>310</v>
      </c>
    </row>
    <row r="657" spans="1:15" x14ac:dyDescent="0.25">
      <c r="A657">
        <v>1016</v>
      </c>
      <c r="B657">
        <v>35</v>
      </c>
      <c r="C657" t="s">
        <v>1129</v>
      </c>
      <c r="D657" t="s">
        <v>1329</v>
      </c>
      <c r="E657" t="s">
        <v>17</v>
      </c>
      <c r="F657" s="3">
        <v>46021</v>
      </c>
      <c r="G657" s="1">
        <f>YEAR(Patient_data[[#This Row],[Appointment_Date]])</f>
        <v>2025</v>
      </c>
      <c r="H657" s="2" t="str">
        <f>TEXT(Patient_data[[#This Row],[Appointment_Date]],"mmmm")</f>
        <v>December</v>
      </c>
      <c r="I657" s="3" t="str">
        <f>TEXT(Patient_data[[#This Row],[Appointment_Date]],"mmm-yyyy")</f>
        <v>Dec-2025</v>
      </c>
      <c r="J657" s="3">
        <v>45747</v>
      </c>
      <c r="K657" t="s">
        <v>1330</v>
      </c>
      <c r="L657" t="s">
        <v>43</v>
      </c>
      <c r="M657" s="4">
        <v>43.51</v>
      </c>
      <c r="N657" t="s">
        <v>24</v>
      </c>
      <c r="O657">
        <f>Patient_data[[#This Row],[Appointment_Date]]-Patient_data[[#This Row],[Booking_Date]]</f>
        <v>274</v>
      </c>
    </row>
    <row r="658" spans="1:15" x14ac:dyDescent="0.25">
      <c r="A658">
        <v>1019</v>
      </c>
      <c r="B658">
        <v>35</v>
      </c>
      <c r="C658" t="s">
        <v>1129</v>
      </c>
      <c r="D658" t="s">
        <v>1331</v>
      </c>
      <c r="E658" t="s">
        <v>28</v>
      </c>
      <c r="F658" s="3">
        <v>45985</v>
      </c>
      <c r="G658" s="1">
        <f>YEAR(Patient_data[[#This Row],[Appointment_Date]])</f>
        <v>2025</v>
      </c>
      <c r="H658" s="2" t="str">
        <f>TEXT(Patient_data[[#This Row],[Appointment_Date]],"mmmm")</f>
        <v>November</v>
      </c>
      <c r="I658" s="3" t="str">
        <f>TEXT(Patient_data[[#This Row],[Appointment_Date]],"mmm-yyyy")</f>
        <v>Nov-2025</v>
      </c>
      <c r="J658" s="3">
        <v>45601</v>
      </c>
      <c r="K658" t="s">
        <v>1332</v>
      </c>
      <c r="L658" t="s">
        <v>43</v>
      </c>
      <c r="M658" s="4">
        <v>14.45</v>
      </c>
      <c r="N658" t="s">
        <v>24</v>
      </c>
      <c r="O658">
        <f>Patient_data[[#This Row],[Appointment_Date]]-Patient_data[[#This Row],[Booking_Date]]</f>
        <v>384</v>
      </c>
    </row>
    <row r="659" spans="1:15" x14ac:dyDescent="0.25">
      <c r="A659">
        <v>1098</v>
      </c>
      <c r="B659">
        <v>35</v>
      </c>
      <c r="C659" t="s">
        <v>1129</v>
      </c>
      <c r="D659" t="s">
        <v>1333</v>
      </c>
      <c r="E659" t="s">
        <v>28</v>
      </c>
      <c r="F659" s="3">
        <v>46094</v>
      </c>
      <c r="G659" s="1">
        <f>YEAR(Patient_data[[#This Row],[Appointment_Date]])</f>
        <v>2026</v>
      </c>
      <c r="H659" s="2" t="str">
        <f>TEXT(Patient_data[[#This Row],[Appointment_Date]],"mmmm")</f>
        <v>March</v>
      </c>
      <c r="I659" s="3" t="str">
        <f>TEXT(Patient_data[[#This Row],[Appointment_Date]],"mmm-yyyy")</f>
        <v>Mar-2026</v>
      </c>
      <c r="J659" s="3">
        <v>45865</v>
      </c>
      <c r="K659" t="s">
        <v>1334</v>
      </c>
      <c r="L659" t="s">
        <v>43</v>
      </c>
      <c r="M659" s="4">
        <v>0.38</v>
      </c>
      <c r="N659" t="s">
        <v>24</v>
      </c>
      <c r="O659">
        <f>Patient_data[[#This Row],[Appointment_Date]]-Patient_data[[#This Row],[Booking_Date]]</f>
        <v>229</v>
      </c>
    </row>
    <row r="660" spans="1:15" x14ac:dyDescent="0.25">
      <c r="A660">
        <v>1027</v>
      </c>
      <c r="B660">
        <v>35</v>
      </c>
      <c r="C660" t="s">
        <v>1129</v>
      </c>
      <c r="D660" t="s">
        <v>1335</v>
      </c>
      <c r="E660" t="s">
        <v>17</v>
      </c>
      <c r="F660" s="3">
        <v>45923</v>
      </c>
      <c r="G660" s="1">
        <f>YEAR(Patient_data[[#This Row],[Appointment_Date]])</f>
        <v>2025</v>
      </c>
      <c r="H660" s="2" t="str">
        <f>TEXT(Patient_data[[#This Row],[Appointment_Date]],"mmmm")</f>
        <v>September</v>
      </c>
      <c r="I660" s="3" t="str">
        <f>TEXT(Patient_data[[#This Row],[Appointment_Date]],"mmm-yyyy")</f>
        <v>Sep-2025</v>
      </c>
      <c r="J660" s="3">
        <v>45488</v>
      </c>
      <c r="K660" t="s">
        <v>1336</v>
      </c>
      <c r="L660" t="s">
        <v>43</v>
      </c>
      <c r="M660" s="4">
        <v>289.07</v>
      </c>
      <c r="N660" t="s">
        <v>24</v>
      </c>
      <c r="O660">
        <f>Patient_data[[#This Row],[Appointment_Date]]-Patient_data[[#This Row],[Booking_Date]]</f>
        <v>435</v>
      </c>
    </row>
    <row r="661" spans="1:15" x14ac:dyDescent="0.25">
      <c r="A661">
        <v>1002</v>
      </c>
      <c r="B661">
        <v>35</v>
      </c>
      <c r="C661" t="s">
        <v>1129</v>
      </c>
      <c r="D661" t="s">
        <v>1337</v>
      </c>
      <c r="E661" t="s">
        <v>28</v>
      </c>
      <c r="F661" s="3">
        <v>45925</v>
      </c>
      <c r="G661" s="1">
        <f>YEAR(Patient_data[[#This Row],[Appointment_Date]])</f>
        <v>2025</v>
      </c>
      <c r="H661" s="2" t="str">
        <f>TEXT(Patient_data[[#This Row],[Appointment_Date]],"mmmm")</f>
        <v>September</v>
      </c>
      <c r="I661" s="3" t="str">
        <f>TEXT(Patient_data[[#This Row],[Appointment_Date]],"mmm-yyyy")</f>
        <v>Sep-2025</v>
      </c>
      <c r="J661" s="3">
        <v>45436</v>
      </c>
      <c r="K661" t="s">
        <v>1338</v>
      </c>
      <c r="L661" t="s">
        <v>19</v>
      </c>
      <c r="M661" s="4">
        <v>87.28</v>
      </c>
      <c r="N661" t="s">
        <v>24</v>
      </c>
      <c r="O661">
        <f>Patient_data[[#This Row],[Appointment_Date]]-Patient_data[[#This Row],[Booking_Date]]</f>
        <v>489</v>
      </c>
    </row>
    <row r="662" spans="1:15" x14ac:dyDescent="0.25">
      <c r="A662">
        <v>1040</v>
      </c>
      <c r="B662">
        <v>35</v>
      </c>
      <c r="C662" t="s">
        <v>1129</v>
      </c>
      <c r="D662" t="s">
        <v>1339</v>
      </c>
      <c r="E662" t="s">
        <v>17</v>
      </c>
      <c r="F662" s="3">
        <v>45888</v>
      </c>
      <c r="G662" s="1">
        <f>YEAR(Patient_data[[#This Row],[Appointment_Date]])</f>
        <v>2025</v>
      </c>
      <c r="H662" s="2" t="str">
        <f>TEXT(Patient_data[[#This Row],[Appointment_Date]],"mmmm")</f>
        <v>August</v>
      </c>
      <c r="I662" s="3" t="str">
        <f>TEXT(Patient_data[[#This Row],[Appointment_Date]],"mmm-yyyy")</f>
        <v>Aug-2025</v>
      </c>
      <c r="J662" s="3">
        <v>45823</v>
      </c>
      <c r="K662" t="s">
        <v>1340</v>
      </c>
      <c r="L662" t="s">
        <v>23</v>
      </c>
      <c r="M662" s="4">
        <v>458.11</v>
      </c>
      <c r="N662" t="s">
        <v>20</v>
      </c>
      <c r="O662">
        <f>Patient_data[[#This Row],[Appointment_Date]]-Patient_data[[#This Row],[Booking_Date]]</f>
        <v>65</v>
      </c>
    </row>
    <row r="663" spans="1:15" x14ac:dyDescent="0.25">
      <c r="A663">
        <v>1098</v>
      </c>
      <c r="B663">
        <v>35</v>
      </c>
      <c r="C663" t="s">
        <v>1129</v>
      </c>
      <c r="D663" t="s">
        <v>1341</v>
      </c>
      <c r="E663" t="s">
        <v>28</v>
      </c>
      <c r="F663" s="3">
        <v>46008</v>
      </c>
      <c r="G663" s="1">
        <f>YEAR(Patient_data[[#This Row],[Appointment_Date]])</f>
        <v>2025</v>
      </c>
      <c r="H663" s="2" t="str">
        <f>TEXT(Patient_data[[#This Row],[Appointment_Date]],"mmmm")</f>
        <v>December</v>
      </c>
      <c r="I663" s="3" t="str">
        <f>TEXT(Patient_data[[#This Row],[Appointment_Date]],"mmm-yyyy")</f>
        <v>Dec-2025</v>
      </c>
      <c r="J663" s="3">
        <v>45409</v>
      </c>
      <c r="K663" t="s">
        <v>1342</v>
      </c>
      <c r="L663" t="s">
        <v>43</v>
      </c>
      <c r="M663" s="4">
        <v>441.33</v>
      </c>
      <c r="N663" t="s">
        <v>20</v>
      </c>
      <c r="O663">
        <f>Patient_data[[#This Row],[Appointment_Date]]-Patient_data[[#This Row],[Booking_Date]]</f>
        <v>599</v>
      </c>
    </row>
    <row r="664" spans="1:15" x14ac:dyDescent="0.25">
      <c r="A664">
        <v>1089</v>
      </c>
      <c r="B664">
        <v>35</v>
      </c>
      <c r="C664" t="s">
        <v>1129</v>
      </c>
      <c r="D664" t="s">
        <v>1343</v>
      </c>
      <c r="E664" t="s">
        <v>17</v>
      </c>
      <c r="F664" s="3">
        <v>45959</v>
      </c>
      <c r="G664" s="1">
        <f>YEAR(Patient_data[[#This Row],[Appointment_Date]])</f>
        <v>2025</v>
      </c>
      <c r="H664" s="2" t="str">
        <f>TEXT(Patient_data[[#This Row],[Appointment_Date]],"mmmm")</f>
        <v>October</v>
      </c>
      <c r="I664" s="3" t="str">
        <f>TEXT(Patient_data[[#This Row],[Appointment_Date]],"mmm-yyyy")</f>
        <v>Oct-2025</v>
      </c>
      <c r="J664" s="3">
        <v>45906</v>
      </c>
      <c r="K664" t="s">
        <v>1344</v>
      </c>
      <c r="L664" t="s">
        <v>30</v>
      </c>
      <c r="M664" s="4">
        <v>8.5500000000000007</v>
      </c>
      <c r="N664" t="s">
        <v>20</v>
      </c>
      <c r="O664">
        <f>Patient_data[[#This Row],[Appointment_Date]]-Patient_data[[#This Row],[Booking_Date]]</f>
        <v>53</v>
      </c>
    </row>
    <row r="665" spans="1:15" x14ac:dyDescent="0.25">
      <c r="A665">
        <v>1088</v>
      </c>
      <c r="B665">
        <v>35</v>
      </c>
      <c r="C665" t="s">
        <v>1129</v>
      </c>
      <c r="D665" t="s">
        <v>1345</v>
      </c>
      <c r="E665" t="s">
        <v>17</v>
      </c>
      <c r="F665" s="3">
        <v>45957</v>
      </c>
      <c r="G665" s="1">
        <f>YEAR(Patient_data[[#This Row],[Appointment_Date]])</f>
        <v>2025</v>
      </c>
      <c r="H665" s="2" t="str">
        <f>TEXT(Patient_data[[#This Row],[Appointment_Date]],"mmmm")</f>
        <v>October</v>
      </c>
      <c r="I665" s="3" t="str">
        <f>TEXT(Patient_data[[#This Row],[Appointment_Date]],"mmm-yyyy")</f>
        <v>Oct-2025</v>
      </c>
      <c r="J665" s="3">
        <v>45849</v>
      </c>
      <c r="K665" t="s">
        <v>1346</v>
      </c>
      <c r="L665" t="s">
        <v>30</v>
      </c>
      <c r="M665" s="4">
        <v>352.72</v>
      </c>
      <c r="N665" t="s">
        <v>24</v>
      </c>
      <c r="O665">
        <f>Patient_data[[#This Row],[Appointment_Date]]-Patient_data[[#This Row],[Booking_Date]]</f>
        <v>108</v>
      </c>
    </row>
    <row r="666" spans="1:15" x14ac:dyDescent="0.25">
      <c r="A666">
        <v>1031</v>
      </c>
      <c r="B666">
        <v>35</v>
      </c>
      <c r="C666" t="s">
        <v>1129</v>
      </c>
      <c r="D666" t="s">
        <v>1347</v>
      </c>
      <c r="E666" t="s">
        <v>17</v>
      </c>
      <c r="F666" s="3">
        <v>45844</v>
      </c>
      <c r="G666" s="1">
        <f>YEAR(Patient_data[[#This Row],[Appointment_Date]])</f>
        <v>2025</v>
      </c>
      <c r="H666" s="2" t="str">
        <f>TEXT(Patient_data[[#This Row],[Appointment_Date]],"mmmm")</f>
        <v>July</v>
      </c>
      <c r="I666" s="3" t="str">
        <f>TEXT(Patient_data[[#This Row],[Appointment_Date]],"mmm-yyyy")</f>
        <v>Jul-2025</v>
      </c>
      <c r="J666" s="3">
        <v>45721</v>
      </c>
      <c r="K666" t="s">
        <v>1348</v>
      </c>
      <c r="L666" t="s">
        <v>23</v>
      </c>
      <c r="M666" s="4">
        <v>13.04</v>
      </c>
      <c r="N666" t="s">
        <v>24</v>
      </c>
      <c r="O666">
        <f>Patient_data[[#This Row],[Appointment_Date]]-Patient_data[[#This Row],[Booking_Date]]</f>
        <v>123</v>
      </c>
    </row>
    <row r="667" spans="1:15" x14ac:dyDescent="0.25">
      <c r="A667">
        <v>1001</v>
      </c>
      <c r="B667">
        <v>35</v>
      </c>
      <c r="C667" t="s">
        <v>1129</v>
      </c>
      <c r="D667" t="s">
        <v>1349</v>
      </c>
      <c r="E667" t="s">
        <v>17</v>
      </c>
      <c r="F667" s="3">
        <v>45852</v>
      </c>
      <c r="G667" s="1">
        <f>YEAR(Patient_data[[#This Row],[Appointment_Date]])</f>
        <v>2025</v>
      </c>
      <c r="H667" s="2" t="str">
        <f>TEXT(Patient_data[[#This Row],[Appointment_Date]],"mmmm")</f>
        <v>July</v>
      </c>
      <c r="I667" s="3" t="str">
        <f>TEXT(Patient_data[[#This Row],[Appointment_Date]],"mmm-yyyy")</f>
        <v>Jul-2025</v>
      </c>
      <c r="J667" s="3">
        <v>45475</v>
      </c>
      <c r="K667" t="s">
        <v>1350</v>
      </c>
      <c r="L667" t="s">
        <v>43</v>
      </c>
      <c r="M667" s="4">
        <v>79.790000000000006</v>
      </c>
      <c r="N667" t="s">
        <v>20</v>
      </c>
      <c r="O667">
        <f>Patient_data[[#This Row],[Appointment_Date]]-Patient_data[[#This Row],[Booking_Date]]</f>
        <v>377</v>
      </c>
    </row>
    <row r="668" spans="1:15" x14ac:dyDescent="0.25">
      <c r="A668">
        <v>1024</v>
      </c>
      <c r="B668">
        <v>35</v>
      </c>
      <c r="C668" t="s">
        <v>1129</v>
      </c>
      <c r="D668" t="s">
        <v>1351</v>
      </c>
      <c r="E668" t="s">
        <v>17</v>
      </c>
      <c r="F668" s="3">
        <v>45886</v>
      </c>
      <c r="G668" s="1">
        <f>YEAR(Patient_data[[#This Row],[Appointment_Date]])</f>
        <v>2025</v>
      </c>
      <c r="H668" s="2" t="str">
        <f>TEXT(Patient_data[[#This Row],[Appointment_Date]],"mmmm")</f>
        <v>August</v>
      </c>
      <c r="I668" s="3" t="str">
        <f>TEXT(Patient_data[[#This Row],[Appointment_Date]],"mmm-yyyy")</f>
        <v>Aug-2025</v>
      </c>
      <c r="J668" s="3">
        <v>45875</v>
      </c>
      <c r="K668" t="s">
        <v>1352</v>
      </c>
      <c r="L668" t="s">
        <v>19</v>
      </c>
      <c r="M668" s="4">
        <v>70.150000000000006</v>
      </c>
      <c r="N668" t="s">
        <v>24</v>
      </c>
      <c r="O668">
        <f>Patient_data[[#This Row],[Appointment_Date]]-Patient_data[[#This Row],[Booking_Date]]</f>
        <v>11</v>
      </c>
    </row>
    <row r="669" spans="1:15" x14ac:dyDescent="0.25">
      <c r="A669">
        <v>1015</v>
      </c>
      <c r="B669">
        <v>35</v>
      </c>
      <c r="C669" t="s">
        <v>1129</v>
      </c>
      <c r="D669" t="s">
        <v>1353</v>
      </c>
      <c r="E669" t="s">
        <v>28</v>
      </c>
      <c r="F669" s="3">
        <v>45959</v>
      </c>
      <c r="G669" s="1">
        <f>YEAR(Patient_data[[#This Row],[Appointment_Date]])</f>
        <v>2025</v>
      </c>
      <c r="H669" s="2" t="str">
        <f>TEXT(Patient_data[[#This Row],[Appointment_Date]],"mmmm")</f>
        <v>October</v>
      </c>
      <c r="I669" s="3" t="str">
        <f>TEXT(Patient_data[[#This Row],[Appointment_Date]],"mmm-yyyy")</f>
        <v>Oct-2025</v>
      </c>
      <c r="J669" s="3">
        <v>45821</v>
      </c>
      <c r="K669" t="s">
        <v>1354</v>
      </c>
      <c r="L669" t="s">
        <v>23</v>
      </c>
      <c r="M669" s="4">
        <v>47.77</v>
      </c>
      <c r="N669" t="s">
        <v>20</v>
      </c>
      <c r="O669">
        <f>Patient_data[[#This Row],[Appointment_Date]]-Patient_data[[#This Row],[Booking_Date]]</f>
        <v>138</v>
      </c>
    </row>
    <row r="670" spans="1:15" x14ac:dyDescent="0.25">
      <c r="A670">
        <v>1086</v>
      </c>
      <c r="B670">
        <v>34</v>
      </c>
      <c r="C670" t="s">
        <v>1129</v>
      </c>
      <c r="D670" t="s">
        <v>1355</v>
      </c>
      <c r="E670" t="s">
        <v>28</v>
      </c>
      <c r="F670" s="3">
        <v>45869</v>
      </c>
      <c r="G670" s="1">
        <f>YEAR(Patient_data[[#This Row],[Appointment_Date]])</f>
        <v>2025</v>
      </c>
      <c r="H670" s="2" t="str">
        <f>TEXT(Patient_data[[#This Row],[Appointment_Date]],"mmmm")</f>
        <v>July</v>
      </c>
      <c r="I670" s="3" t="str">
        <f>TEXT(Patient_data[[#This Row],[Appointment_Date]],"mmm-yyyy")</f>
        <v>Jul-2025</v>
      </c>
      <c r="J670" s="3">
        <v>45391</v>
      </c>
      <c r="K670" t="s">
        <v>1356</v>
      </c>
      <c r="L670" t="s">
        <v>30</v>
      </c>
      <c r="M670" s="4">
        <v>292.23</v>
      </c>
      <c r="N670" t="s">
        <v>24</v>
      </c>
      <c r="O670">
        <f>Patient_data[[#This Row],[Appointment_Date]]-Patient_data[[#This Row],[Booking_Date]]</f>
        <v>478</v>
      </c>
    </row>
    <row r="671" spans="1:15" x14ac:dyDescent="0.25">
      <c r="A671">
        <v>1024</v>
      </c>
      <c r="B671">
        <v>34</v>
      </c>
      <c r="C671" t="s">
        <v>1129</v>
      </c>
      <c r="D671" t="s">
        <v>1357</v>
      </c>
      <c r="E671" t="s">
        <v>28</v>
      </c>
      <c r="F671" s="3">
        <v>45931</v>
      </c>
      <c r="G671" s="1">
        <f>YEAR(Patient_data[[#This Row],[Appointment_Date]])</f>
        <v>2025</v>
      </c>
      <c r="H671" s="2" t="str">
        <f>TEXT(Patient_data[[#This Row],[Appointment_Date]],"mmmm")</f>
        <v>October</v>
      </c>
      <c r="I671" s="3" t="str">
        <f>TEXT(Patient_data[[#This Row],[Appointment_Date]],"mmm-yyyy")</f>
        <v>Oct-2025</v>
      </c>
      <c r="J671" s="3">
        <v>45578</v>
      </c>
      <c r="K671" t="s">
        <v>1358</v>
      </c>
      <c r="L671" t="s">
        <v>43</v>
      </c>
      <c r="M671" s="4">
        <v>376.08</v>
      </c>
      <c r="N671" t="s">
        <v>20</v>
      </c>
      <c r="O671">
        <f>Patient_data[[#This Row],[Appointment_Date]]-Patient_data[[#This Row],[Booking_Date]]</f>
        <v>353</v>
      </c>
    </row>
    <row r="672" spans="1:15" x14ac:dyDescent="0.25">
      <c r="A672">
        <v>1088</v>
      </c>
      <c r="B672">
        <v>34</v>
      </c>
      <c r="C672" t="s">
        <v>1129</v>
      </c>
      <c r="D672" t="s">
        <v>1359</v>
      </c>
      <c r="E672" t="s">
        <v>28</v>
      </c>
      <c r="F672" s="3">
        <v>45942</v>
      </c>
      <c r="G672" s="1">
        <f>YEAR(Patient_data[[#This Row],[Appointment_Date]])</f>
        <v>2025</v>
      </c>
      <c r="H672" s="2" t="str">
        <f>TEXT(Patient_data[[#This Row],[Appointment_Date]],"mmmm")</f>
        <v>October</v>
      </c>
      <c r="I672" s="3" t="str">
        <f>TEXT(Patient_data[[#This Row],[Appointment_Date]],"mmm-yyyy")</f>
        <v>Oct-2025</v>
      </c>
      <c r="J672" s="3">
        <v>45672</v>
      </c>
      <c r="K672" t="s">
        <v>1360</v>
      </c>
      <c r="L672" t="s">
        <v>30</v>
      </c>
      <c r="M672" s="4">
        <v>44.56</v>
      </c>
      <c r="N672" t="s">
        <v>24</v>
      </c>
      <c r="O672">
        <f>Patient_data[[#This Row],[Appointment_Date]]-Patient_data[[#This Row],[Booking_Date]]</f>
        <v>270</v>
      </c>
    </row>
    <row r="673" spans="1:15" x14ac:dyDescent="0.25">
      <c r="A673">
        <v>1040</v>
      </c>
      <c r="B673">
        <v>34</v>
      </c>
      <c r="C673" t="s">
        <v>1129</v>
      </c>
      <c r="D673" t="s">
        <v>1361</v>
      </c>
      <c r="E673" t="s">
        <v>17</v>
      </c>
      <c r="F673" s="3">
        <v>45961</v>
      </c>
      <c r="G673" s="1">
        <f>YEAR(Patient_data[[#This Row],[Appointment_Date]])</f>
        <v>2025</v>
      </c>
      <c r="H673" s="2" t="str">
        <f>TEXT(Patient_data[[#This Row],[Appointment_Date]],"mmmm")</f>
        <v>October</v>
      </c>
      <c r="I673" s="3" t="str">
        <f>TEXT(Patient_data[[#This Row],[Appointment_Date]],"mmm-yyyy")</f>
        <v>Oct-2025</v>
      </c>
      <c r="J673" s="3">
        <v>45735</v>
      </c>
      <c r="K673" t="s">
        <v>1362</v>
      </c>
      <c r="L673" t="s">
        <v>19</v>
      </c>
      <c r="M673" s="4">
        <v>42.32</v>
      </c>
      <c r="N673" t="s">
        <v>20</v>
      </c>
      <c r="O673">
        <f>Patient_data[[#This Row],[Appointment_Date]]-Patient_data[[#This Row],[Booking_Date]]</f>
        <v>226</v>
      </c>
    </row>
    <row r="674" spans="1:15" x14ac:dyDescent="0.25">
      <c r="A674">
        <v>1018</v>
      </c>
      <c r="B674">
        <v>34</v>
      </c>
      <c r="C674" t="s">
        <v>1129</v>
      </c>
      <c r="D674" t="s">
        <v>1363</v>
      </c>
      <c r="E674" t="s">
        <v>28</v>
      </c>
      <c r="F674" s="3">
        <v>46016</v>
      </c>
      <c r="G674" s="1">
        <f>YEAR(Patient_data[[#This Row],[Appointment_Date]])</f>
        <v>2025</v>
      </c>
      <c r="H674" s="2" t="str">
        <f>TEXT(Patient_data[[#This Row],[Appointment_Date]],"mmmm")</f>
        <v>December</v>
      </c>
      <c r="I674" s="3" t="str">
        <f>TEXT(Patient_data[[#This Row],[Appointment_Date]],"mmm-yyyy")</f>
        <v>Dec-2025</v>
      </c>
      <c r="J674" s="3">
        <v>45547</v>
      </c>
      <c r="K674" t="s">
        <v>1364</v>
      </c>
      <c r="L674" t="s">
        <v>30</v>
      </c>
      <c r="M674" s="4">
        <v>9.31</v>
      </c>
      <c r="N674" t="s">
        <v>20</v>
      </c>
      <c r="O674">
        <f>Patient_data[[#This Row],[Appointment_Date]]-Patient_data[[#This Row],[Booking_Date]]</f>
        <v>469</v>
      </c>
    </row>
    <row r="675" spans="1:15" x14ac:dyDescent="0.25">
      <c r="A675">
        <v>1024</v>
      </c>
      <c r="B675">
        <v>34</v>
      </c>
      <c r="C675" t="s">
        <v>1129</v>
      </c>
      <c r="D675" t="s">
        <v>1365</v>
      </c>
      <c r="E675" t="s">
        <v>17</v>
      </c>
      <c r="F675" s="3">
        <v>46064</v>
      </c>
      <c r="G675" s="1">
        <f>YEAR(Patient_data[[#This Row],[Appointment_Date]])</f>
        <v>2026</v>
      </c>
      <c r="H675" s="2" t="str">
        <f>TEXT(Patient_data[[#This Row],[Appointment_Date]],"mmmm")</f>
        <v>February</v>
      </c>
      <c r="I675" s="3" t="str">
        <f>TEXT(Patient_data[[#This Row],[Appointment_Date]],"mmm-yyyy")</f>
        <v>Feb-2026</v>
      </c>
      <c r="J675" s="3">
        <v>45650</v>
      </c>
      <c r="K675" t="s">
        <v>1366</v>
      </c>
      <c r="L675" t="s">
        <v>43</v>
      </c>
      <c r="M675" s="4">
        <v>40.86</v>
      </c>
      <c r="N675" t="s">
        <v>24</v>
      </c>
      <c r="O675">
        <f>Patient_data[[#This Row],[Appointment_Date]]-Patient_data[[#This Row],[Booking_Date]]</f>
        <v>414</v>
      </c>
    </row>
    <row r="676" spans="1:15" x14ac:dyDescent="0.25">
      <c r="A676">
        <v>1045</v>
      </c>
      <c r="B676">
        <v>34</v>
      </c>
      <c r="C676" t="s">
        <v>1129</v>
      </c>
      <c r="D676" t="s">
        <v>1367</v>
      </c>
      <c r="E676" t="s">
        <v>28</v>
      </c>
      <c r="F676" s="3">
        <v>45791</v>
      </c>
      <c r="G676" s="1">
        <f>YEAR(Patient_data[[#This Row],[Appointment_Date]])</f>
        <v>2025</v>
      </c>
      <c r="H676" s="2" t="str">
        <f>TEXT(Patient_data[[#This Row],[Appointment_Date]],"mmmm")</f>
        <v>May</v>
      </c>
      <c r="I676" s="3" t="str">
        <f>TEXT(Patient_data[[#This Row],[Appointment_Date]],"mmm-yyyy")</f>
        <v>May-2025</v>
      </c>
      <c r="J676" s="3">
        <v>45431</v>
      </c>
      <c r="K676" t="s">
        <v>1368</v>
      </c>
      <c r="L676" t="s">
        <v>30</v>
      </c>
      <c r="M676" s="4">
        <v>55.05</v>
      </c>
      <c r="N676" t="s">
        <v>20</v>
      </c>
      <c r="O676">
        <f>Patient_data[[#This Row],[Appointment_Date]]-Patient_data[[#This Row],[Booking_Date]]</f>
        <v>360</v>
      </c>
    </row>
    <row r="677" spans="1:15" x14ac:dyDescent="0.25">
      <c r="A677">
        <v>1084</v>
      </c>
      <c r="B677">
        <v>34</v>
      </c>
      <c r="C677" t="s">
        <v>1129</v>
      </c>
      <c r="D677" t="s">
        <v>1369</v>
      </c>
      <c r="E677" t="s">
        <v>28</v>
      </c>
      <c r="F677" s="3">
        <v>45998</v>
      </c>
      <c r="G677" s="1">
        <f>YEAR(Patient_data[[#This Row],[Appointment_Date]])</f>
        <v>2025</v>
      </c>
      <c r="H677" s="2" t="str">
        <f>TEXT(Patient_data[[#This Row],[Appointment_Date]],"mmmm")</f>
        <v>December</v>
      </c>
      <c r="I677" s="3" t="str">
        <f>TEXT(Patient_data[[#This Row],[Appointment_Date]],"mmm-yyyy")</f>
        <v>Dec-2025</v>
      </c>
      <c r="J677" s="3">
        <v>45941</v>
      </c>
      <c r="K677" t="s">
        <v>1370</v>
      </c>
      <c r="L677" t="s">
        <v>23</v>
      </c>
      <c r="M677" s="4">
        <v>466.72</v>
      </c>
      <c r="N677" t="s">
        <v>20</v>
      </c>
      <c r="O677">
        <f>Patient_data[[#This Row],[Appointment_Date]]-Patient_data[[#This Row],[Booking_Date]]</f>
        <v>57</v>
      </c>
    </row>
    <row r="678" spans="1:15" x14ac:dyDescent="0.25">
      <c r="A678">
        <v>1059</v>
      </c>
      <c r="B678">
        <v>34</v>
      </c>
      <c r="C678" t="s">
        <v>1129</v>
      </c>
      <c r="D678" t="s">
        <v>1371</v>
      </c>
      <c r="E678" t="s">
        <v>17</v>
      </c>
      <c r="F678" s="3">
        <v>45910</v>
      </c>
      <c r="G678" s="1">
        <f>YEAR(Patient_data[[#This Row],[Appointment_Date]])</f>
        <v>2025</v>
      </c>
      <c r="H678" s="2" t="str">
        <f>TEXT(Patient_data[[#This Row],[Appointment_Date]],"mmmm")</f>
        <v>September</v>
      </c>
      <c r="I678" s="3" t="str">
        <f>TEXT(Patient_data[[#This Row],[Appointment_Date]],"mmm-yyyy")</f>
        <v>Sep-2025</v>
      </c>
      <c r="J678" s="3">
        <v>45595</v>
      </c>
      <c r="K678" t="s">
        <v>1372</v>
      </c>
      <c r="L678" t="s">
        <v>19</v>
      </c>
      <c r="M678" s="4">
        <v>67.180000000000007</v>
      </c>
      <c r="N678" t="s">
        <v>24</v>
      </c>
      <c r="O678">
        <f>Patient_data[[#This Row],[Appointment_Date]]-Patient_data[[#This Row],[Booking_Date]]</f>
        <v>315</v>
      </c>
    </row>
    <row r="679" spans="1:15" x14ac:dyDescent="0.25">
      <c r="A679">
        <v>1017</v>
      </c>
      <c r="B679">
        <v>34</v>
      </c>
      <c r="C679" t="s">
        <v>1129</v>
      </c>
      <c r="D679" t="s">
        <v>1373</v>
      </c>
      <c r="E679" t="s">
        <v>28</v>
      </c>
      <c r="F679" s="3">
        <v>45858</v>
      </c>
      <c r="G679" s="1">
        <f>YEAR(Patient_data[[#This Row],[Appointment_Date]])</f>
        <v>2025</v>
      </c>
      <c r="H679" s="2" t="str">
        <f>TEXT(Patient_data[[#This Row],[Appointment_Date]],"mmmm")</f>
        <v>July</v>
      </c>
      <c r="I679" s="3" t="str">
        <f>TEXT(Patient_data[[#This Row],[Appointment_Date]],"mmm-yyyy")</f>
        <v>Jul-2025</v>
      </c>
      <c r="J679" s="3">
        <v>45791</v>
      </c>
      <c r="K679" t="s">
        <v>1374</v>
      </c>
      <c r="L679" t="s">
        <v>23</v>
      </c>
      <c r="M679" s="4">
        <v>202.92</v>
      </c>
      <c r="N679" t="s">
        <v>20</v>
      </c>
      <c r="O679">
        <f>Patient_data[[#This Row],[Appointment_Date]]-Patient_data[[#This Row],[Booking_Date]]</f>
        <v>67</v>
      </c>
    </row>
    <row r="680" spans="1:15" x14ac:dyDescent="0.25">
      <c r="A680">
        <v>1093</v>
      </c>
      <c r="B680">
        <v>34</v>
      </c>
      <c r="C680" t="s">
        <v>1129</v>
      </c>
      <c r="D680" t="s">
        <v>1375</v>
      </c>
      <c r="E680" t="s">
        <v>17</v>
      </c>
      <c r="F680" s="3">
        <v>46085</v>
      </c>
      <c r="G680" s="1">
        <f>YEAR(Patient_data[[#This Row],[Appointment_Date]])</f>
        <v>2026</v>
      </c>
      <c r="H680" s="2" t="str">
        <f>TEXT(Patient_data[[#This Row],[Appointment_Date]],"mmmm")</f>
        <v>March</v>
      </c>
      <c r="I680" s="3" t="str">
        <f>TEXT(Patient_data[[#This Row],[Appointment_Date]],"mmm-yyyy")</f>
        <v>Mar-2026</v>
      </c>
      <c r="J680" s="3">
        <v>45546</v>
      </c>
      <c r="K680" t="s">
        <v>1376</v>
      </c>
      <c r="L680" t="s">
        <v>43</v>
      </c>
      <c r="M680" s="4">
        <v>48.31</v>
      </c>
      <c r="N680" t="s">
        <v>24</v>
      </c>
      <c r="O680">
        <f>Patient_data[[#This Row],[Appointment_Date]]-Patient_data[[#This Row],[Booking_Date]]</f>
        <v>539</v>
      </c>
    </row>
    <row r="681" spans="1:15" x14ac:dyDescent="0.25">
      <c r="A681">
        <v>1019</v>
      </c>
      <c r="B681">
        <v>34</v>
      </c>
      <c r="C681" t="s">
        <v>1129</v>
      </c>
      <c r="D681" t="s">
        <v>1377</v>
      </c>
      <c r="E681" t="s">
        <v>28</v>
      </c>
      <c r="F681" s="3">
        <v>46081</v>
      </c>
      <c r="G681" s="1">
        <f>YEAR(Patient_data[[#This Row],[Appointment_Date]])</f>
        <v>2026</v>
      </c>
      <c r="H681" s="2" t="str">
        <f>TEXT(Patient_data[[#This Row],[Appointment_Date]],"mmmm")</f>
        <v>February</v>
      </c>
      <c r="I681" s="3" t="str">
        <f>TEXT(Patient_data[[#This Row],[Appointment_Date]],"mmm-yyyy")</f>
        <v>Feb-2026</v>
      </c>
      <c r="J681" s="3">
        <v>45869</v>
      </c>
      <c r="K681" t="s">
        <v>1378</v>
      </c>
      <c r="L681" t="s">
        <v>23</v>
      </c>
      <c r="M681" s="4">
        <v>5.84</v>
      </c>
      <c r="N681" t="s">
        <v>24</v>
      </c>
      <c r="O681">
        <f>Patient_data[[#This Row],[Appointment_Date]]-Patient_data[[#This Row],[Booking_Date]]</f>
        <v>212</v>
      </c>
    </row>
    <row r="682" spans="1:15" x14ac:dyDescent="0.25">
      <c r="A682">
        <v>1008</v>
      </c>
      <c r="B682">
        <v>34</v>
      </c>
      <c r="C682" t="s">
        <v>1129</v>
      </c>
      <c r="D682" t="s">
        <v>1379</v>
      </c>
      <c r="E682" t="s">
        <v>28</v>
      </c>
      <c r="F682" s="3">
        <v>45940</v>
      </c>
      <c r="G682" s="1">
        <f>YEAR(Patient_data[[#This Row],[Appointment_Date]])</f>
        <v>2025</v>
      </c>
      <c r="H682" s="2" t="str">
        <f>TEXT(Patient_data[[#This Row],[Appointment_Date]],"mmmm")</f>
        <v>October</v>
      </c>
      <c r="I682" s="3" t="str">
        <f>TEXT(Patient_data[[#This Row],[Appointment_Date]],"mmm-yyyy")</f>
        <v>Oct-2025</v>
      </c>
      <c r="J682" s="3">
        <v>45779</v>
      </c>
      <c r="K682" t="s">
        <v>1380</v>
      </c>
      <c r="L682" t="s">
        <v>19</v>
      </c>
      <c r="M682" s="4">
        <v>31.45</v>
      </c>
      <c r="N682" t="s">
        <v>20</v>
      </c>
      <c r="O682">
        <f>Patient_data[[#This Row],[Appointment_Date]]-Patient_data[[#This Row],[Booking_Date]]</f>
        <v>161</v>
      </c>
    </row>
    <row r="683" spans="1:15" x14ac:dyDescent="0.25">
      <c r="A683">
        <v>1085</v>
      </c>
      <c r="B683">
        <v>34</v>
      </c>
      <c r="C683" t="s">
        <v>1129</v>
      </c>
      <c r="D683" t="s">
        <v>1381</v>
      </c>
      <c r="E683" t="s">
        <v>17</v>
      </c>
      <c r="F683" s="3">
        <v>45989</v>
      </c>
      <c r="G683" s="1">
        <f>YEAR(Patient_data[[#This Row],[Appointment_Date]])</f>
        <v>2025</v>
      </c>
      <c r="H683" s="2" t="str">
        <f>TEXT(Patient_data[[#This Row],[Appointment_Date]],"mmmm")</f>
        <v>November</v>
      </c>
      <c r="I683" s="3" t="str">
        <f>TEXT(Patient_data[[#This Row],[Appointment_Date]],"mmm-yyyy")</f>
        <v>Nov-2025</v>
      </c>
      <c r="J683" s="3">
        <v>45823</v>
      </c>
      <c r="K683" t="s">
        <v>1382</v>
      </c>
      <c r="L683" t="s">
        <v>30</v>
      </c>
      <c r="M683" s="4">
        <v>114.8</v>
      </c>
      <c r="N683" t="s">
        <v>20</v>
      </c>
      <c r="O683">
        <f>Patient_data[[#This Row],[Appointment_Date]]-Patient_data[[#This Row],[Booking_Date]]</f>
        <v>166</v>
      </c>
    </row>
    <row r="684" spans="1:15" x14ac:dyDescent="0.25">
      <c r="A684">
        <v>1040</v>
      </c>
      <c r="B684">
        <v>33</v>
      </c>
      <c r="C684" t="s">
        <v>1129</v>
      </c>
      <c r="D684" t="s">
        <v>1383</v>
      </c>
      <c r="E684" t="s">
        <v>28</v>
      </c>
      <c r="F684" s="3">
        <v>46041</v>
      </c>
      <c r="G684" s="1">
        <f>YEAR(Patient_data[[#This Row],[Appointment_Date]])</f>
        <v>2026</v>
      </c>
      <c r="H684" s="2" t="str">
        <f>TEXT(Patient_data[[#This Row],[Appointment_Date]],"mmmm")</f>
        <v>January</v>
      </c>
      <c r="I684" s="3" t="str">
        <f>TEXT(Patient_data[[#This Row],[Appointment_Date]],"mmm-yyyy")</f>
        <v>Jan-2026</v>
      </c>
      <c r="J684" s="3">
        <v>45381</v>
      </c>
      <c r="K684" t="s">
        <v>1384</v>
      </c>
      <c r="L684" t="s">
        <v>23</v>
      </c>
      <c r="M684" s="4">
        <v>31.08</v>
      </c>
      <c r="N684" t="s">
        <v>24</v>
      </c>
      <c r="O684">
        <f>Patient_data[[#This Row],[Appointment_Date]]-Patient_data[[#This Row],[Booking_Date]]</f>
        <v>660</v>
      </c>
    </row>
    <row r="685" spans="1:15" x14ac:dyDescent="0.25">
      <c r="A685">
        <v>1024</v>
      </c>
      <c r="B685">
        <v>33</v>
      </c>
      <c r="C685" t="s">
        <v>1129</v>
      </c>
      <c r="D685" t="s">
        <v>1385</v>
      </c>
      <c r="E685" t="s">
        <v>17</v>
      </c>
      <c r="F685" s="3">
        <v>46075</v>
      </c>
      <c r="G685" s="1">
        <f>YEAR(Patient_data[[#This Row],[Appointment_Date]])</f>
        <v>2026</v>
      </c>
      <c r="H685" s="2" t="str">
        <f>TEXT(Patient_data[[#This Row],[Appointment_Date]],"mmmm")</f>
        <v>February</v>
      </c>
      <c r="I685" s="3" t="str">
        <f>TEXT(Patient_data[[#This Row],[Appointment_Date]],"mmm-yyyy")</f>
        <v>Feb-2026</v>
      </c>
      <c r="J685" s="3">
        <v>45919</v>
      </c>
      <c r="K685" t="s">
        <v>1386</v>
      </c>
      <c r="L685" t="s">
        <v>43</v>
      </c>
      <c r="M685" s="4">
        <v>61.81</v>
      </c>
      <c r="N685" t="s">
        <v>24</v>
      </c>
      <c r="O685">
        <f>Patient_data[[#This Row],[Appointment_Date]]-Patient_data[[#This Row],[Booking_Date]]</f>
        <v>156</v>
      </c>
    </row>
    <row r="686" spans="1:15" x14ac:dyDescent="0.25">
      <c r="A686">
        <v>1067</v>
      </c>
      <c r="B686">
        <v>33</v>
      </c>
      <c r="C686" t="s">
        <v>1129</v>
      </c>
      <c r="D686" t="s">
        <v>1387</v>
      </c>
      <c r="E686" t="s">
        <v>17</v>
      </c>
      <c r="F686" s="3">
        <v>46020</v>
      </c>
      <c r="G686" s="1">
        <f>YEAR(Patient_data[[#This Row],[Appointment_Date]])</f>
        <v>2025</v>
      </c>
      <c r="H686" s="2" t="str">
        <f>TEXT(Patient_data[[#This Row],[Appointment_Date]],"mmmm")</f>
        <v>December</v>
      </c>
      <c r="I686" s="3" t="str">
        <f>TEXT(Patient_data[[#This Row],[Appointment_Date]],"mmm-yyyy")</f>
        <v>Dec-2025</v>
      </c>
      <c r="J686" s="3">
        <v>45441</v>
      </c>
      <c r="K686" t="s">
        <v>1388</v>
      </c>
      <c r="L686" t="s">
        <v>23</v>
      </c>
      <c r="M686" s="4">
        <v>9.9600000000000009</v>
      </c>
      <c r="N686" t="s">
        <v>20</v>
      </c>
      <c r="O686">
        <f>Patient_data[[#This Row],[Appointment_Date]]-Patient_data[[#This Row],[Booking_Date]]</f>
        <v>579</v>
      </c>
    </row>
    <row r="687" spans="1:15" x14ac:dyDescent="0.25">
      <c r="A687">
        <v>1066</v>
      </c>
      <c r="B687">
        <v>33</v>
      </c>
      <c r="C687" t="s">
        <v>1129</v>
      </c>
      <c r="D687" t="s">
        <v>1389</v>
      </c>
      <c r="E687" t="s">
        <v>17</v>
      </c>
      <c r="F687" s="3">
        <v>45840</v>
      </c>
      <c r="G687" s="1">
        <f>YEAR(Patient_data[[#This Row],[Appointment_Date]])</f>
        <v>2025</v>
      </c>
      <c r="H687" s="2" t="str">
        <f>TEXT(Patient_data[[#This Row],[Appointment_Date]],"mmmm")</f>
        <v>July</v>
      </c>
      <c r="I687" s="3" t="str">
        <f>TEXT(Patient_data[[#This Row],[Appointment_Date]],"mmm-yyyy")</f>
        <v>Jul-2025</v>
      </c>
      <c r="J687" s="3">
        <v>45518</v>
      </c>
      <c r="K687" t="s">
        <v>1390</v>
      </c>
      <c r="L687" t="s">
        <v>23</v>
      </c>
      <c r="M687" s="4">
        <v>33.979999999999997</v>
      </c>
      <c r="N687" t="s">
        <v>20</v>
      </c>
      <c r="O687">
        <f>Patient_data[[#This Row],[Appointment_Date]]-Patient_data[[#This Row],[Booking_Date]]</f>
        <v>322</v>
      </c>
    </row>
    <row r="688" spans="1:15" x14ac:dyDescent="0.25">
      <c r="A688">
        <v>1082</v>
      </c>
      <c r="B688">
        <v>33</v>
      </c>
      <c r="C688" t="s">
        <v>1129</v>
      </c>
      <c r="D688" t="s">
        <v>1391</v>
      </c>
      <c r="E688" t="s">
        <v>17</v>
      </c>
      <c r="F688" s="3">
        <v>45819</v>
      </c>
      <c r="G688" s="1">
        <f>YEAR(Patient_data[[#This Row],[Appointment_Date]])</f>
        <v>2025</v>
      </c>
      <c r="H688" s="2" t="str">
        <f>TEXT(Patient_data[[#This Row],[Appointment_Date]],"mmmm")</f>
        <v>June</v>
      </c>
      <c r="I688" s="3" t="str">
        <f>TEXT(Patient_data[[#This Row],[Appointment_Date]],"mmm-yyyy")</f>
        <v>Jun-2025</v>
      </c>
      <c r="J688" s="3">
        <v>45707</v>
      </c>
      <c r="K688" t="s">
        <v>1392</v>
      </c>
      <c r="L688" t="s">
        <v>19</v>
      </c>
      <c r="M688" s="4">
        <v>87.75</v>
      </c>
      <c r="N688" t="s">
        <v>24</v>
      </c>
      <c r="O688">
        <f>Patient_data[[#This Row],[Appointment_Date]]-Patient_data[[#This Row],[Booking_Date]]</f>
        <v>112</v>
      </c>
    </row>
    <row r="689" spans="1:15" x14ac:dyDescent="0.25">
      <c r="A689">
        <v>1031</v>
      </c>
      <c r="B689">
        <v>33</v>
      </c>
      <c r="C689" t="s">
        <v>1129</v>
      </c>
      <c r="D689" t="s">
        <v>1393</v>
      </c>
      <c r="E689" t="s">
        <v>28</v>
      </c>
      <c r="F689" s="3">
        <v>45913</v>
      </c>
      <c r="G689" s="1">
        <f>YEAR(Patient_data[[#This Row],[Appointment_Date]])</f>
        <v>2025</v>
      </c>
      <c r="H689" s="2" t="str">
        <f>TEXT(Patient_data[[#This Row],[Appointment_Date]],"mmmm")</f>
        <v>September</v>
      </c>
      <c r="I689" s="3" t="str">
        <f>TEXT(Patient_data[[#This Row],[Appointment_Date]],"mmm-yyyy")</f>
        <v>Sep-2025</v>
      </c>
      <c r="J689" s="3">
        <v>45475</v>
      </c>
      <c r="K689" t="s">
        <v>1394</v>
      </c>
      <c r="L689" t="s">
        <v>43</v>
      </c>
      <c r="M689" s="4">
        <v>58.83</v>
      </c>
      <c r="N689" t="s">
        <v>24</v>
      </c>
      <c r="O689">
        <f>Patient_data[[#This Row],[Appointment_Date]]-Patient_data[[#This Row],[Booking_Date]]</f>
        <v>438</v>
      </c>
    </row>
    <row r="690" spans="1:15" x14ac:dyDescent="0.25">
      <c r="A690">
        <v>1001</v>
      </c>
      <c r="B690">
        <v>33</v>
      </c>
      <c r="C690" t="s">
        <v>1129</v>
      </c>
      <c r="D690" t="s">
        <v>1395</v>
      </c>
      <c r="E690" t="s">
        <v>28</v>
      </c>
      <c r="F690" s="3">
        <v>45975</v>
      </c>
      <c r="G690" s="1">
        <f>YEAR(Patient_data[[#This Row],[Appointment_Date]])</f>
        <v>2025</v>
      </c>
      <c r="H690" s="2" t="str">
        <f>TEXT(Patient_data[[#This Row],[Appointment_Date]],"mmmm")</f>
        <v>November</v>
      </c>
      <c r="I690" s="3" t="str">
        <f>TEXT(Patient_data[[#This Row],[Appointment_Date]],"mmm-yyyy")</f>
        <v>Nov-2025</v>
      </c>
      <c r="J690" s="3">
        <v>45906</v>
      </c>
      <c r="K690" t="s">
        <v>1396</v>
      </c>
      <c r="L690" t="s">
        <v>19</v>
      </c>
      <c r="M690" s="4">
        <v>81.93</v>
      </c>
      <c r="N690" t="s">
        <v>20</v>
      </c>
      <c r="O690">
        <f>Patient_data[[#This Row],[Appointment_Date]]-Patient_data[[#This Row],[Booking_Date]]</f>
        <v>69</v>
      </c>
    </row>
    <row r="691" spans="1:15" x14ac:dyDescent="0.25">
      <c r="A691">
        <v>1006</v>
      </c>
      <c r="B691">
        <v>33</v>
      </c>
      <c r="C691" t="s">
        <v>1129</v>
      </c>
      <c r="D691" t="s">
        <v>1397</v>
      </c>
      <c r="E691" t="s">
        <v>17</v>
      </c>
      <c r="F691" s="3">
        <v>45780</v>
      </c>
      <c r="G691" s="1">
        <f>YEAR(Patient_data[[#This Row],[Appointment_Date]])</f>
        <v>2025</v>
      </c>
      <c r="H691" s="2" t="str">
        <f>TEXT(Patient_data[[#This Row],[Appointment_Date]],"mmmm")</f>
        <v>May</v>
      </c>
      <c r="I691" s="3" t="str">
        <f>TEXT(Patient_data[[#This Row],[Appointment_Date]],"mmm-yyyy")</f>
        <v>May-2025</v>
      </c>
      <c r="J691" s="3">
        <v>45619</v>
      </c>
      <c r="K691" t="s">
        <v>1398</v>
      </c>
      <c r="L691" t="s">
        <v>43</v>
      </c>
      <c r="M691" s="4">
        <v>2.54</v>
      </c>
      <c r="N691" t="s">
        <v>20</v>
      </c>
      <c r="O691">
        <f>Patient_data[[#This Row],[Appointment_Date]]-Patient_data[[#This Row],[Booking_Date]]</f>
        <v>161</v>
      </c>
    </row>
    <row r="692" spans="1:15" x14ac:dyDescent="0.25">
      <c r="A692">
        <v>1047</v>
      </c>
      <c r="B692">
        <v>33</v>
      </c>
      <c r="C692" t="s">
        <v>1129</v>
      </c>
      <c r="D692" t="s">
        <v>1399</v>
      </c>
      <c r="E692" t="s">
        <v>28</v>
      </c>
      <c r="F692" s="3">
        <v>46071</v>
      </c>
      <c r="G692" s="1">
        <f>YEAR(Patient_data[[#This Row],[Appointment_Date]])</f>
        <v>2026</v>
      </c>
      <c r="H692" s="2" t="str">
        <f>TEXT(Patient_data[[#This Row],[Appointment_Date]],"mmmm")</f>
        <v>February</v>
      </c>
      <c r="I692" s="3" t="str">
        <f>TEXT(Patient_data[[#This Row],[Appointment_Date]],"mmm-yyyy")</f>
        <v>Feb-2026</v>
      </c>
      <c r="J692" s="3">
        <v>45445</v>
      </c>
      <c r="K692" t="s">
        <v>1400</v>
      </c>
      <c r="L692" t="s">
        <v>23</v>
      </c>
      <c r="M692" s="4">
        <v>7.29</v>
      </c>
      <c r="N692" t="s">
        <v>24</v>
      </c>
      <c r="O692">
        <f>Patient_data[[#This Row],[Appointment_Date]]-Patient_data[[#This Row],[Booking_Date]]</f>
        <v>626</v>
      </c>
    </row>
    <row r="693" spans="1:15" x14ac:dyDescent="0.25">
      <c r="A693">
        <v>1035</v>
      </c>
      <c r="B693">
        <v>33</v>
      </c>
      <c r="C693" t="s">
        <v>1129</v>
      </c>
      <c r="D693" t="s">
        <v>1401</v>
      </c>
      <c r="E693" t="s">
        <v>17</v>
      </c>
      <c r="F693" s="3">
        <v>45781</v>
      </c>
      <c r="G693" s="1">
        <f>YEAR(Patient_data[[#This Row],[Appointment_Date]])</f>
        <v>2025</v>
      </c>
      <c r="H693" s="2" t="str">
        <f>TEXT(Patient_data[[#This Row],[Appointment_Date]],"mmmm")</f>
        <v>May</v>
      </c>
      <c r="I693" s="3" t="str">
        <f>TEXT(Patient_data[[#This Row],[Appointment_Date]],"mmm-yyyy")</f>
        <v>May-2025</v>
      </c>
      <c r="J693" s="3">
        <v>45447</v>
      </c>
      <c r="K693" t="s">
        <v>1402</v>
      </c>
      <c r="L693" t="s">
        <v>23</v>
      </c>
      <c r="M693" s="4">
        <v>7.7</v>
      </c>
      <c r="N693" t="s">
        <v>24</v>
      </c>
      <c r="O693">
        <f>Patient_data[[#This Row],[Appointment_Date]]-Patient_data[[#This Row],[Booking_Date]]</f>
        <v>334</v>
      </c>
    </row>
    <row r="694" spans="1:15" x14ac:dyDescent="0.25">
      <c r="A694">
        <v>1089</v>
      </c>
      <c r="B694">
        <v>32</v>
      </c>
      <c r="C694" t="s">
        <v>1129</v>
      </c>
      <c r="D694" t="s">
        <v>1403</v>
      </c>
      <c r="E694" t="s">
        <v>28</v>
      </c>
      <c r="F694" s="3">
        <v>45788</v>
      </c>
      <c r="G694" s="1">
        <f>YEAR(Patient_data[[#This Row],[Appointment_Date]])</f>
        <v>2025</v>
      </c>
      <c r="H694" s="2" t="str">
        <f>TEXT(Patient_data[[#This Row],[Appointment_Date]],"mmmm")</f>
        <v>May</v>
      </c>
      <c r="I694" s="3" t="str">
        <f>TEXT(Patient_data[[#This Row],[Appointment_Date]],"mmm-yyyy")</f>
        <v>May-2025</v>
      </c>
      <c r="J694" s="3">
        <v>45479</v>
      </c>
      <c r="K694" t="s">
        <v>1404</v>
      </c>
      <c r="L694" t="s">
        <v>19</v>
      </c>
      <c r="M694" s="4">
        <v>236.22</v>
      </c>
      <c r="N694" t="s">
        <v>20</v>
      </c>
      <c r="O694">
        <f>Patient_data[[#This Row],[Appointment_Date]]-Patient_data[[#This Row],[Booking_Date]]</f>
        <v>309</v>
      </c>
    </row>
    <row r="695" spans="1:15" x14ac:dyDescent="0.25">
      <c r="A695">
        <v>1094</v>
      </c>
      <c r="B695">
        <v>32</v>
      </c>
      <c r="C695" t="s">
        <v>1129</v>
      </c>
      <c r="D695" t="s">
        <v>1405</v>
      </c>
      <c r="E695" t="s">
        <v>17</v>
      </c>
      <c r="F695" s="3">
        <v>46090</v>
      </c>
      <c r="G695" s="1">
        <f>YEAR(Patient_data[[#This Row],[Appointment_Date]])</f>
        <v>2026</v>
      </c>
      <c r="H695" s="2" t="str">
        <f>TEXT(Patient_data[[#This Row],[Appointment_Date]],"mmmm")</f>
        <v>March</v>
      </c>
      <c r="I695" s="3" t="str">
        <f>TEXT(Patient_data[[#This Row],[Appointment_Date]],"mmm-yyyy")</f>
        <v>Mar-2026</v>
      </c>
      <c r="J695" s="3">
        <v>45610</v>
      </c>
      <c r="K695" t="s">
        <v>1406</v>
      </c>
      <c r="L695" t="s">
        <v>23</v>
      </c>
      <c r="M695" s="4">
        <v>13.53</v>
      </c>
      <c r="N695" t="s">
        <v>20</v>
      </c>
      <c r="O695">
        <f>Patient_data[[#This Row],[Appointment_Date]]-Patient_data[[#This Row],[Booking_Date]]</f>
        <v>480</v>
      </c>
    </row>
    <row r="696" spans="1:15" x14ac:dyDescent="0.25">
      <c r="A696">
        <v>1027</v>
      </c>
      <c r="B696">
        <v>32</v>
      </c>
      <c r="C696" t="s">
        <v>1129</v>
      </c>
      <c r="D696" t="s">
        <v>1407</v>
      </c>
      <c r="E696" t="s">
        <v>28</v>
      </c>
      <c r="F696" s="3">
        <v>46083</v>
      </c>
      <c r="G696" s="1">
        <f>YEAR(Patient_data[[#This Row],[Appointment_Date]])</f>
        <v>2026</v>
      </c>
      <c r="H696" s="2" t="str">
        <f>TEXT(Patient_data[[#This Row],[Appointment_Date]],"mmmm")</f>
        <v>March</v>
      </c>
      <c r="I696" s="3" t="str">
        <f>TEXT(Patient_data[[#This Row],[Appointment_Date]],"mmm-yyyy")</f>
        <v>Mar-2026</v>
      </c>
      <c r="J696" s="3">
        <v>46008</v>
      </c>
      <c r="K696" t="s">
        <v>1408</v>
      </c>
      <c r="L696" t="s">
        <v>30</v>
      </c>
      <c r="M696" s="4">
        <v>25.31</v>
      </c>
      <c r="N696" t="s">
        <v>24</v>
      </c>
      <c r="O696">
        <f>Patient_data[[#This Row],[Appointment_Date]]-Patient_data[[#This Row],[Booking_Date]]</f>
        <v>75</v>
      </c>
    </row>
    <row r="697" spans="1:15" x14ac:dyDescent="0.25">
      <c r="A697">
        <v>1057</v>
      </c>
      <c r="B697">
        <v>32</v>
      </c>
      <c r="C697" t="s">
        <v>1129</v>
      </c>
      <c r="D697" t="s">
        <v>1409</v>
      </c>
      <c r="E697" t="s">
        <v>17</v>
      </c>
      <c r="F697" s="3">
        <v>45746</v>
      </c>
      <c r="G697" s="1">
        <f>YEAR(Patient_data[[#This Row],[Appointment_Date]])</f>
        <v>2025</v>
      </c>
      <c r="H697" s="2" t="str">
        <f>TEXT(Patient_data[[#This Row],[Appointment_Date]],"mmmm")</f>
        <v>March</v>
      </c>
      <c r="I697" s="3" t="str">
        <f>TEXT(Patient_data[[#This Row],[Appointment_Date]],"mmm-yyyy")</f>
        <v>Mar-2025</v>
      </c>
      <c r="J697" s="3">
        <v>45415</v>
      </c>
      <c r="K697" t="s">
        <v>1410</v>
      </c>
      <c r="L697" t="s">
        <v>23</v>
      </c>
      <c r="M697" s="4">
        <v>9.81</v>
      </c>
      <c r="N697" t="s">
        <v>24</v>
      </c>
      <c r="O697">
        <f>Patient_data[[#This Row],[Appointment_Date]]-Patient_data[[#This Row],[Booking_Date]]</f>
        <v>331</v>
      </c>
    </row>
    <row r="698" spans="1:15" x14ac:dyDescent="0.25">
      <c r="A698">
        <v>1050</v>
      </c>
      <c r="B698">
        <v>32</v>
      </c>
      <c r="C698" t="s">
        <v>1129</v>
      </c>
      <c r="D698" t="s">
        <v>1411</v>
      </c>
      <c r="E698" t="s">
        <v>17</v>
      </c>
      <c r="F698" s="3">
        <v>45751</v>
      </c>
      <c r="G698" s="1">
        <f>YEAR(Patient_data[[#This Row],[Appointment_Date]])</f>
        <v>2025</v>
      </c>
      <c r="H698" s="2" t="str">
        <f>TEXT(Patient_data[[#This Row],[Appointment_Date]],"mmmm")</f>
        <v>April</v>
      </c>
      <c r="I698" s="3" t="str">
        <f>TEXT(Patient_data[[#This Row],[Appointment_Date]],"mmm-yyyy")</f>
        <v>Apr-2025</v>
      </c>
      <c r="J698" s="3">
        <v>45428</v>
      </c>
      <c r="K698" t="s">
        <v>868</v>
      </c>
      <c r="L698" t="s">
        <v>43</v>
      </c>
      <c r="M698" s="4">
        <v>361.31</v>
      </c>
      <c r="N698" t="s">
        <v>24</v>
      </c>
      <c r="O698">
        <f>Patient_data[[#This Row],[Appointment_Date]]-Patient_data[[#This Row],[Booking_Date]]</f>
        <v>323</v>
      </c>
    </row>
    <row r="699" spans="1:15" x14ac:dyDescent="0.25">
      <c r="A699">
        <v>1059</v>
      </c>
      <c r="B699">
        <v>32</v>
      </c>
      <c r="C699" t="s">
        <v>1129</v>
      </c>
      <c r="D699" t="s">
        <v>1412</v>
      </c>
      <c r="E699" t="s">
        <v>17</v>
      </c>
      <c r="F699" s="3">
        <v>46092</v>
      </c>
      <c r="G699" s="1">
        <f>YEAR(Patient_data[[#This Row],[Appointment_Date]])</f>
        <v>2026</v>
      </c>
      <c r="H699" s="2" t="str">
        <f>TEXT(Patient_data[[#This Row],[Appointment_Date]],"mmmm")</f>
        <v>March</v>
      </c>
      <c r="I699" s="3" t="str">
        <f>TEXT(Patient_data[[#This Row],[Appointment_Date]],"mmm-yyyy")</f>
        <v>Mar-2026</v>
      </c>
      <c r="J699" s="3">
        <v>45861</v>
      </c>
      <c r="K699" t="s">
        <v>1413</v>
      </c>
      <c r="L699" t="s">
        <v>23</v>
      </c>
      <c r="M699" s="4">
        <v>0.71</v>
      </c>
      <c r="N699" t="s">
        <v>24</v>
      </c>
      <c r="O699">
        <f>Patient_data[[#This Row],[Appointment_Date]]-Patient_data[[#This Row],[Booking_Date]]</f>
        <v>231</v>
      </c>
    </row>
    <row r="700" spans="1:15" x14ac:dyDescent="0.25">
      <c r="A700">
        <v>1081</v>
      </c>
      <c r="B700">
        <v>32</v>
      </c>
      <c r="C700" t="s">
        <v>1129</v>
      </c>
      <c r="D700" t="s">
        <v>1414</v>
      </c>
      <c r="E700" t="s">
        <v>28</v>
      </c>
      <c r="F700" s="3">
        <v>45844</v>
      </c>
      <c r="G700" s="1">
        <f>YEAR(Patient_data[[#This Row],[Appointment_Date]])</f>
        <v>2025</v>
      </c>
      <c r="H700" s="2" t="str">
        <f>TEXT(Patient_data[[#This Row],[Appointment_Date]],"mmmm")</f>
        <v>July</v>
      </c>
      <c r="I700" s="3" t="str">
        <f>TEXT(Patient_data[[#This Row],[Appointment_Date]],"mmm-yyyy")</f>
        <v>Jul-2025</v>
      </c>
      <c r="J700" s="3">
        <v>45757</v>
      </c>
      <c r="K700" t="s">
        <v>1415</v>
      </c>
      <c r="L700" t="s">
        <v>19</v>
      </c>
      <c r="M700" s="4">
        <v>56.32</v>
      </c>
      <c r="N700" t="s">
        <v>24</v>
      </c>
      <c r="O700">
        <f>Patient_data[[#This Row],[Appointment_Date]]-Patient_data[[#This Row],[Booking_Date]]</f>
        <v>87</v>
      </c>
    </row>
    <row r="701" spans="1:15" x14ac:dyDescent="0.25">
      <c r="A701">
        <v>1065</v>
      </c>
      <c r="B701">
        <v>32</v>
      </c>
      <c r="C701" t="s">
        <v>1129</v>
      </c>
      <c r="D701" t="s">
        <v>1416</v>
      </c>
      <c r="E701" t="s">
        <v>17</v>
      </c>
      <c r="F701" s="3">
        <v>45790</v>
      </c>
      <c r="G701" s="1">
        <f>YEAR(Patient_data[[#This Row],[Appointment_Date]])</f>
        <v>2025</v>
      </c>
      <c r="H701" s="2" t="str">
        <f>TEXT(Patient_data[[#This Row],[Appointment_Date]],"mmmm")</f>
        <v>May</v>
      </c>
      <c r="I701" s="3" t="str">
        <f>TEXT(Patient_data[[#This Row],[Appointment_Date]],"mmm-yyyy")</f>
        <v>May-2025</v>
      </c>
      <c r="J701" s="3">
        <v>45525</v>
      </c>
      <c r="K701" t="s">
        <v>1417</v>
      </c>
      <c r="L701" t="s">
        <v>30</v>
      </c>
      <c r="M701" s="4">
        <v>392</v>
      </c>
      <c r="N701" t="s">
        <v>24</v>
      </c>
      <c r="O701">
        <f>Patient_data[[#This Row],[Appointment_Date]]-Patient_data[[#This Row],[Booking_Date]]</f>
        <v>265</v>
      </c>
    </row>
    <row r="702" spans="1:15" x14ac:dyDescent="0.25">
      <c r="A702">
        <v>1073</v>
      </c>
      <c r="B702">
        <v>32</v>
      </c>
      <c r="C702" t="s">
        <v>1129</v>
      </c>
      <c r="D702" t="s">
        <v>1418</v>
      </c>
      <c r="E702" t="s">
        <v>28</v>
      </c>
      <c r="F702" s="3">
        <v>46044</v>
      </c>
      <c r="G702" s="1">
        <f>YEAR(Patient_data[[#This Row],[Appointment_Date]])</f>
        <v>2026</v>
      </c>
      <c r="H702" s="2" t="str">
        <f>TEXT(Patient_data[[#This Row],[Appointment_Date]],"mmmm")</f>
        <v>January</v>
      </c>
      <c r="I702" s="3" t="str">
        <f>TEXT(Patient_data[[#This Row],[Appointment_Date]],"mmm-yyyy")</f>
        <v>Jan-2026</v>
      </c>
      <c r="J702" s="3">
        <v>45625</v>
      </c>
      <c r="K702" t="s">
        <v>1419</v>
      </c>
      <c r="L702" t="s">
        <v>30</v>
      </c>
      <c r="M702" s="4">
        <v>160.05000000000001</v>
      </c>
      <c r="N702" t="s">
        <v>24</v>
      </c>
      <c r="O702">
        <f>Patient_data[[#This Row],[Appointment_Date]]-Patient_data[[#This Row],[Booking_Date]]</f>
        <v>419</v>
      </c>
    </row>
    <row r="703" spans="1:15" x14ac:dyDescent="0.25">
      <c r="A703">
        <v>1069</v>
      </c>
      <c r="B703">
        <v>32</v>
      </c>
      <c r="C703" t="s">
        <v>1129</v>
      </c>
      <c r="D703" t="s">
        <v>1420</v>
      </c>
      <c r="E703" t="s">
        <v>17</v>
      </c>
      <c r="F703" s="3">
        <v>46076</v>
      </c>
      <c r="G703" s="1">
        <f>YEAR(Patient_data[[#This Row],[Appointment_Date]])</f>
        <v>2026</v>
      </c>
      <c r="H703" s="2" t="str">
        <f>TEXT(Patient_data[[#This Row],[Appointment_Date]],"mmmm")</f>
        <v>February</v>
      </c>
      <c r="I703" s="3" t="str">
        <f>TEXT(Patient_data[[#This Row],[Appointment_Date]],"mmm-yyyy")</f>
        <v>Feb-2026</v>
      </c>
      <c r="J703" s="3">
        <v>45671</v>
      </c>
      <c r="K703" t="s">
        <v>1421</v>
      </c>
      <c r="L703" t="s">
        <v>23</v>
      </c>
      <c r="M703" s="4">
        <v>8.7200000000000006</v>
      </c>
      <c r="N703" t="s">
        <v>24</v>
      </c>
      <c r="O703">
        <f>Patient_data[[#This Row],[Appointment_Date]]-Patient_data[[#This Row],[Booking_Date]]</f>
        <v>405</v>
      </c>
    </row>
    <row r="704" spans="1:15" x14ac:dyDescent="0.25">
      <c r="A704">
        <v>1063</v>
      </c>
      <c r="B704">
        <v>32</v>
      </c>
      <c r="C704" t="s">
        <v>1129</v>
      </c>
      <c r="D704" t="s">
        <v>1422</v>
      </c>
      <c r="E704" t="s">
        <v>17</v>
      </c>
      <c r="F704" s="3">
        <v>45843</v>
      </c>
      <c r="G704" s="1">
        <f>YEAR(Patient_data[[#This Row],[Appointment_Date]])</f>
        <v>2025</v>
      </c>
      <c r="H704" s="2" t="str">
        <f>TEXT(Patient_data[[#This Row],[Appointment_Date]],"mmmm")</f>
        <v>July</v>
      </c>
      <c r="I704" s="3" t="str">
        <f>TEXT(Patient_data[[#This Row],[Appointment_Date]],"mmm-yyyy")</f>
        <v>Jul-2025</v>
      </c>
      <c r="J704" s="3">
        <v>45661</v>
      </c>
      <c r="K704" t="s">
        <v>769</v>
      </c>
      <c r="L704" t="s">
        <v>43</v>
      </c>
      <c r="M704" s="4">
        <v>254.14</v>
      </c>
      <c r="N704" t="s">
        <v>24</v>
      </c>
      <c r="O704">
        <f>Patient_data[[#This Row],[Appointment_Date]]-Patient_data[[#This Row],[Booking_Date]]</f>
        <v>182</v>
      </c>
    </row>
    <row r="705" spans="1:15" x14ac:dyDescent="0.25">
      <c r="A705">
        <v>1081</v>
      </c>
      <c r="B705">
        <v>32</v>
      </c>
      <c r="C705" t="s">
        <v>1129</v>
      </c>
      <c r="D705" t="s">
        <v>1423</v>
      </c>
      <c r="E705" t="s">
        <v>17</v>
      </c>
      <c r="F705" s="3">
        <v>46079</v>
      </c>
      <c r="G705" s="1">
        <f>YEAR(Patient_data[[#This Row],[Appointment_Date]])</f>
        <v>2026</v>
      </c>
      <c r="H705" s="2" t="str">
        <f>TEXT(Patient_data[[#This Row],[Appointment_Date]],"mmmm")</f>
        <v>February</v>
      </c>
      <c r="I705" s="3" t="str">
        <f>TEXT(Patient_data[[#This Row],[Appointment_Date]],"mmm-yyyy")</f>
        <v>Feb-2026</v>
      </c>
      <c r="J705" s="3">
        <v>45761</v>
      </c>
      <c r="K705" t="s">
        <v>1137</v>
      </c>
      <c r="L705" t="s">
        <v>19</v>
      </c>
      <c r="M705" s="4">
        <v>12.79</v>
      </c>
      <c r="N705" t="s">
        <v>20</v>
      </c>
      <c r="O705">
        <f>Patient_data[[#This Row],[Appointment_Date]]-Patient_data[[#This Row],[Booking_Date]]</f>
        <v>318</v>
      </c>
    </row>
    <row r="706" spans="1:15" x14ac:dyDescent="0.25">
      <c r="A706">
        <v>1099</v>
      </c>
      <c r="B706">
        <v>31</v>
      </c>
      <c r="C706" t="s">
        <v>1129</v>
      </c>
      <c r="D706" t="s">
        <v>1424</v>
      </c>
      <c r="E706" t="s">
        <v>17</v>
      </c>
      <c r="F706" s="3">
        <v>45849</v>
      </c>
      <c r="G706" s="1">
        <f>YEAR(Patient_data[[#This Row],[Appointment_Date]])</f>
        <v>2025</v>
      </c>
      <c r="H706" s="2" t="str">
        <f>TEXT(Patient_data[[#This Row],[Appointment_Date]],"mmmm")</f>
        <v>July</v>
      </c>
      <c r="I706" s="3" t="str">
        <f>TEXT(Patient_data[[#This Row],[Appointment_Date]],"mmm-yyyy")</f>
        <v>Jul-2025</v>
      </c>
      <c r="J706" s="3">
        <v>45735</v>
      </c>
      <c r="K706" t="s">
        <v>1425</v>
      </c>
      <c r="L706" t="s">
        <v>43</v>
      </c>
      <c r="M706" s="4">
        <v>259.72000000000003</v>
      </c>
      <c r="N706" t="s">
        <v>24</v>
      </c>
      <c r="O706">
        <f>Patient_data[[#This Row],[Appointment_Date]]-Patient_data[[#This Row],[Booking_Date]]</f>
        <v>114</v>
      </c>
    </row>
    <row r="707" spans="1:15" x14ac:dyDescent="0.25">
      <c r="A707">
        <v>1043</v>
      </c>
      <c r="B707">
        <v>31</v>
      </c>
      <c r="C707" t="s">
        <v>1129</v>
      </c>
      <c r="D707" t="s">
        <v>1426</v>
      </c>
      <c r="E707" t="s">
        <v>28</v>
      </c>
      <c r="F707" s="3">
        <v>45841</v>
      </c>
      <c r="G707" s="1">
        <f>YEAR(Patient_data[[#This Row],[Appointment_Date]])</f>
        <v>2025</v>
      </c>
      <c r="H707" s="2" t="str">
        <f>TEXT(Patient_data[[#This Row],[Appointment_Date]],"mmmm")</f>
        <v>July</v>
      </c>
      <c r="I707" s="3" t="str">
        <f>TEXT(Patient_data[[#This Row],[Appointment_Date]],"mmm-yyyy")</f>
        <v>Jul-2025</v>
      </c>
      <c r="J707" s="3">
        <v>45773</v>
      </c>
      <c r="K707" t="s">
        <v>1427</v>
      </c>
      <c r="L707" t="s">
        <v>43</v>
      </c>
      <c r="M707" s="4">
        <v>55.82</v>
      </c>
      <c r="N707" t="s">
        <v>20</v>
      </c>
      <c r="O707">
        <f>Patient_data[[#This Row],[Appointment_Date]]-Patient_data[[#This Row],[Booking_Date]]</f>
        <v>68</v>
      </c>
    </row>
    <row r="708" spans="1:15" x14ac:dyDescent="0.25">
      <c r="A708">
        <v>1020</v>
      </c>
      <c r="B708">
        <v>31</v>
      </c>
      <c r="C708" t="s">
        <v>1129</v>
      </c>
      <c r="D708" t="s">
        <v>1428</v>
      </c>
      <c r="E708" t="s">
        <v>28</v>
      </c>
      <c r="F708" s="3">
        <v>45929</v>
      </c>
      <c r="G708" s="1">
        <f>YEAR(Patient_data[[#This Row],[Appointment_Date]])</f>
        <v>2025</v>
      </c>
      <c r="H708" s="2" t="str">
        <f>TEXT(Patient_data[[#This Row],[Appointment_Date]],"mmmm")</f>
        <v>September</v>
      </c>
      <c r="I708" s="3" t="str">
        <f>TEXT(Patient_data[[#This Row],[Appointment_Date]],"mmm-yyyy")</f>
        <v>Sep-2025</v>
      </c>
      <c r="J708" s="3">
        <v>45600</v>
      </c>
      <c r="K708" t="s">
        <v>1429</v>
      </c>
      <c r="L708" t="s">
        <v>19</v>
      </c>
      <c r="M708" s="4">
        <v>139.81</v>
      </c>
      <c r="N708" t="s">
        <v>24</v>
      </c>
      <c r="O708">
        <f>Patient_data[[#This Row],[Appointment_Date]]-Patient_data[[#This Row],[Booking_Date]]</f>
        <v>329</v>
      </c>
    </row>
    <row r="709" spans="1:15" x14ac:dyDescent="0.25">
      <c r="A709">
        <v>1065</v>
      </c>
      <c r="B709">
        <v>31</v>
      </c>
      <c r="C709" t="s">
        <v>1129</v>
      </c>
      <c r="D709" t="s">
        <v>1430</v>
      </c>
      <c r="E709" t="s">
        <v>28</v>
      </c>
      <c r="F709" s="3">
        <v>46085</v>
      </c>
      <c r="G709" s="1">
        <f>YEAR(Patient_data[[#This Row],[Appointment_Date]])</f>
        <v>2026</v>
      </c>
      <c r="H709" s="2" t="str">
        <f>TEXT(Patient_data[[#This Row],[Appointment_Date]],"mmmm")</f>
        <v>March</v>
      </c>
      <c r="I709" s="3" t="str">
        <f>TEXT(Patient_data[[#This Row],[Appointment_Date]],"mmm-yyyy")</f>
        <v>Mar-2026</v>
      </c>
      <c r="J709" s="3">
        <v>46050</v>
      </c>
      <c r="K709" t="s">
        <v>1431</v>
      </c>
      <c r="L709" t="s">
        <v>43</v>
      </c>
      <c r="M709" s="4">
        <v>47.38</v>
      </c>
      <c r="N709" t="s">
        <v>24</v>
      </c>
      <c r="O709">
        <f>Patient_data[[#This Row],[Appointment_Date]]-Patient_data[[#This Row],[Booking_Date]]</f>
        <v>35</v>
      </c>
    </row>
    <row r="710" spans="1:15" x14ac:dyDescent="0.25">
      <c r="A710">
        <v>1047</v>
      </c>
      <c r="B710">
        <v>31</v>
      </c>
      <c r="C710" t="s">
        <v>1129</v>
      </c>
      <c r="D710" t="s">
        <v>1432</v>
      </c>
      <c r="E710" t="s">
        <v>28</v>
      </c>
      <c r="F710" s="3">
        <v>45752</v>
      </c>
      <c r="G710" s="1">
        <f>YEAR(Patient_data[[#This Row],[Appointment_Date]])</f>
        <v>2025</v>
      </c>
      <c r="H710" s="2" t="str">
        <f>TEXT(Patient_data[[#This Row],[Appointment_Date]],"mmmm")</f>
        <v>April</v>
      </c>
      <c r="I710" s="3" t="str">
        <f>TEXT(Patient_data[[#This Row],[Appointment_Date]],"mmm-yyyy")</f>
        <v>Apr-2025</v>
      </c>
      <c r="J710" s="3">
        <v>45420</v>
      </c>
      <c r="K710" t="s">
        <v>1433</v>
      </c>
      <c r="L710" t="s">
        <v>30</v>
      </c>
      <c r="M710" s="4">
        <v>257.10000000000002</v>
      </c>
      <c r="N710" t="s">
        <v>20</v>
      </c>
      <c r="O710">
        <f>Patient_data[[#This Row],[Appointment_Date]]-Patient_data[[#This Row],[Booking_Date]]</f>
        <v>332</v>
      </c>
    </row>
    <row r="711" spans="1:15" x14ac:dyDescent="0.25">
      <c r="A711">
        <v>1016</v>
      </c>
      <c r="B711">
        <v>31</v>
      </c>
      <c r="C711" t="s">
        <v>1129</v>
      </c>
      <c r="D711" t="s">
        <v>1434</v>
      </c>
      <c r="E711" t="s">
        <v>28</v>
      </c>
      <c r="F711" s="3">
        <v>45957</v>
      </c>
      <c r="G711" s="1">
        <f>YEAR(Patient_data[[#This Row],[Appointment_Date]])</f>
        <v>2025</v>
      </c>
      <c r="H711" s="2" t="str">
        <f>TEXT(Patient_data[[#This Row],[Appointment_Date]],"mmmm")</f>
        <v>October</v>
      </c>
      <c r="I711" s="3" t="str">
        <f>TEXT(Patient_data[[#This Row],[Appointment_Date]],"mmm-yyyy")</f>
        <v>Oct-2025</v>
      </c>
      <c r="J711" s="3">
        <v>45728</v>
      </c>
      <c r="K711" t="s">
        <v>1435</v>
      </c>
      <c r="L711" t="s">
        <v>43</v>
      </c>
      <c r="M711" s="4">
        <v>90.78</v>
      </c>
      <c r="N711" t="s">
        <v>24</v>
      </c>
      <c r="O711">
        <f>Patient_data[[#This Row],[Appointment_Date]]-Patient_data[[#This Row],[Booking_Date]]</f>
        <v>229</v>
      </c>
    </row>
    <row r="712" spans="1:15" x14ac:dyDescent="0.25">
      <c r="A712">
        <v>1043</v>
      </c>
      <c r="B712">
        <v>31</v>
      </c>
      <c r="C712" t="s">
        <v>1129</v>
      </c>
      <c r="D712" t="s">
        <v>1436</v>
      </c>
      <c r="E712" t="s">
        <v>17</v>
      </c>
      <c r="F712" s="3">
        <v>45982</v>
      </c>
      <c r="G712" s="1">
        <f>YEAR(Patient_data[[#This Row],[Appointment_Date]])</f>
        <v>2025</v>
      </c>
      <c r="H712" s="2" t="str">
        <f>TEXT(Patient_data[[#This Row],[Appointment_Date]],"mmmm")</f>
        <v>November</v>
      </c>
      <c r="I712" s="3" t="str">
        <f>TEXT(Patient_data[[#This Row],[Appointment_Date]],"mmm-yyyy")</f>
        <v>Nov-2025</v>
      </c>
      <c r="J712" s="3">
        <v>45885</v>
      </c>
      <c r="K712" t="s">
        <v>1437</v>
      </c>
      <c r="L712" t="s">
        <v>19</v>
      </c>
      <c r="M712" s="4">
        <v>198.95</v>
      </c>
      <c r="N712" t="s">
        <v>20</v>
      </c>
      <c r="O712">
        <f>Patient_data[[#This Row],[Appointment_Date]]-Patient_data[[#This Row],[Booking_Date]]</f>
        <v>97</v>
      </c>
    </row>
    <row r="713" spans="1:15" x14ac:dyDescent="0.25">
      <c r="A713">
        <v>1014</v>
      </c>
      <c r="B713">
        <v>31</v>
      </c>
      <c r="C713" t="s">
        <v>1129</v>
      </c>
      <c r="D713" t="s">
        <v>1438</v>
      </c>
      <c r="E713" t="s">
        <v>17</v>
      </c>
      <c r="F713" s="3">
        <v>45899</v>
      </c>
      <c r="G713" s="1">
        <f>YEAR(Patient_data[[#This Row],[Appointment_Date]])</f>
        <v>2025</v>
      </c>
      <c r="H713" s="2" t="str">
        <f>TEXT(Patient_data[[#This Row],[Appointment_Date]],"mmmm")</f>
        <v>August</v>
      </c>
      <c r="I713" s="3" t="str">
        <f>TEXT(Patient_data[[#This Row],[Appointment_Date]],"mmm-yyyy")</f>
        <v>Aug-2025</v>
      </c>
      <c r="J713" s="3">
        <v>45674</v>
      </c>
      <c r="K713" t="s">
        <v>1439</v>
      </c>
      <c r="L713" t="s">
        <v>23</v>
      </c>
      <c r="M713" s="4">
        <v>24.17</v>
      </c>
      <c r="N713" t="s">
        <v>24</v>
      </c>
      <c r="O713">
        <f>Patient_data[[#This Row],[Appointment_Date]]-Patient_data[[#This Row],[Booking_Date]]</f>
        <v>225</v>
      </c>
    </row>
    <row r="714" spans="1:15" x14ac:dyDescent="0.25">
      <c r="A714">
        <v>1087</v>
      </c>
      <c r="B714">
        <v>31</v>
      </c>
      <c r="C714" t="s">
        <v>1129</v>
      </c>
      <c r="D714" t="s">
        <v>1440</v>
      </c>
      <c r="E714" t="s">
        <v>17</v>
      </c>
      <c r="F714" s="3">
        <v>45808</v>
      </c>
      <c r="G714" s="1">
        <f>YEAR(Patient_data[[#This Row],[Appointment_Date]])</f>
        <v>2025</v>
      </c>
      <c r="H714" s="2" t="str">
        <f>TEXT(Patient_data[[#This Row],[Appointment_Date]],"mmmm")</f>
        <v>May</v>
      </c>
      <c r="I714" s="3" t="str">
        <f>TEXT(Patient_data[[#This Row],[Appointment_Date]],"mmm-yyyy")</f>
        <v>May-2025</v>
      </c>
      <c r="J714" s="3">
        <v>45801</v>
      </c>
      <c r="K714" t="s">
        <v>1441</v>
      </c>
      <c r="L714" t="s">
        <v>30</v>
      </c>
      <c r="M714" s="4">
        <v>94.95</v>
      </c>
      <c r="N714" t="s">
        <v>24</v>
      </c>
      <c r="O714">
        <f>Patient_data[[#This Row],[Appointment_Date]]-Patient_data[[#This Row],[Booking_Date]]</f>
        <v>7</v>
      </c>
    </row>
    <row r="715" spans="1:15" x14ac:dyDescent="0.25">
      <c r="A715">
        <v>1031</v>
      </c>
      <c r="B715">
        <v>31</v>
      </c>
      <c r="C715" t="s">
        <v>1129</v>
      </c>
      <c r="D715" t="s">
        <v>1442</v>
      </c>
      <c r="E715" t="s">
        <v>17</v>
      </c>
      <c r="F715" s="3">
        <v>46098</v>
      </c>
      <c r="G715" s="1">
        <f>YEAR(Patient_data[[#This Row],[Appointment_Date]])</f>
        <v>2026</v>
      </c>
      <c r="H715" s="2" t="str">
        <f>TEXT(Patient_data[[#This Row],[Appointment_Date]],"mmmm")</f>
        <v>March</v>
      </c>
      <c r="I715" s="3" t="str">
        <f>TEXT(Patient_data[[#This Row],[Appointment_Date]],"mmm-yyyy")</f>
        <v>Mar-2026</v>
      </c>
      <c r="J715" s="3">
        <v>45871</v>
      </c>
      <c r="K715" t="s">
        <v>979</v>
      </c>
      <c r="L715" t="s">
        <v>30</v>
      </c>
      <c r="M715" s="4">
        <v>19.739999999999998</v>
      </c>
      <c r="N715" t="s">
        <v>24</v>
      </c>
      <c r="O715">
        <f>Patient_data[[#This Row],[Appointment_Date]]-Patient_data[[#This Row],[Booking_Date]]</f>
        <v>227</v>
      </c>
    </row>
    <row r="716" spans="1:15" x14ac:dyDescent="0.25">
      <c r="A716">
        <v>1100</v>
      </c>
      <c r="B716">
        <v>31</v>
      </c>
      <c r="C716" t="s">
        <v>1129</v>
      </c>
      <c r="D716" t="s">
        <v>1443</v>
      </c>
      <c r="E716" t="s">
        <v>17</v>
      </c>
      <c r="F716" s="3">
        <v>45931</v>
      </c>
      <c r="G716" s="1">
        <f>YEAR(Patient_data[[#This Row],[Appointment_Date]])</f>
        <v>2025</v>
      </c>
      <c r="H716" s="2" t="str">
        <f>TEXT(Patient_data[[#This Row],[Appointment_Date]],"mmmm")</f>
        <v>October</v>
      </c>
      <c r="I716" s="3" t="str">
        <f>TEXT(Patient_data[[#This Row],[Appointment_Date]],"mmm-yyyy")</f>
        <v>Oct-2025</v>
      </c>
      <c r="J716" s="3">
        <v>45590</v>
      </c>
      <c r="K716" t="s">
        <v>1444</v>
      </c>
      <c r="L716" t="s">
        <v>30</v>
      </c>
      <c r="M716" s="4">
        <v>41.89</v>
      </c>
      <c r="N716" t="s">
        <v>20</v>
      </c>
      <c r="O716">
        <f>Patient_data[[#This Row],[Appointment_Date]]-Patient_data[[#This Row],[Booking_Date]]</f>
        <v>341</v>
      </c>
    </row>
    <row r="717" spans="1:15" x14ac:dyDescent="0.25">
      <c r="A717">
        <v>1042</v>
      </c>
      <c r="B717">
        <v>30</v>
      </c>
      <c r="C717" t="s">
        <v>1445</v>
      </c>
      <c r="D717" t="s">
        <v>1446</v>
      </c>
      <c r="E717" t="s">
        <v>28</v>
      </c>
      <c r="F717" s="3">
        <v>45996</v>
      </c>
      <c r="G717" s="1">
        <f>YEAR(Patient_data[[#This Row],[Appointment_Date]])</f>
        <v>2025</v>
      </c>
      <c r="H717" s="2" t="str">
        <f>TEXT(Patient_data[[#This Row],[Appointment_Date]],"mmmm")</f>
        <v>December</v>
      </c>
      <c r="I717" s="3" t="str">
        <f>TEXT(Patient_data[[#This Row],[Appointment_Date]],"mmm-yyyy")</f>
        <v>Dec-2025</v>
      </c>
      <c r="J717" s="3">
        <v>45538</v>
      </c>
      <c r="K717" t="s">
        <v>1447</v>
      </c>
      <c r="L717" t="s">
        <v>19</v>
      </c>
      <c r="M717" s="4">
        <v>0.01</v>
      </c>
      <c r="N717" t="s">
        <v>24</v>
      </c>
      <c r="O717">
        <f>Patient_data[[#This Row],[Appointment_Date]]-Patient_data[[#This Row],[Booking_Date]]</f>
        <v>458</v>
      </c>
    </row>
    <row r="718" spans="1:15" x14ac:dyDescent="0.25">
      <c r="A718">
        <v>1053</v>
      </c>
      <c r="B718">
        <v>30</v>
      </c>
      <c r="C718" t="s">
        <v>1445</v>
      </c>
      <c r="D718" t="s">
        <v>1448</v>
      </c>
      <c r="E718" t="s">
        <v>28</v>
      </c>
      <c r="F718" s="3">
        <v>46105</v>
      </c>
      <c r="G718" s="1">
        <f>YEAR(Patient_data[[#This Row],[Appointment_Date]])</f>
        <v>2026</v>
      </c>
      <c r="H718" s="2" t="str">
        <f>TEXT(Patient_data[[#This Row],[Appointment_Date]],"mmmm")</f>
        <v>March</v>
      </c>
      <c r="I718" s="3" t="str">
        <f>TEXT(Patient_data[[#This Row],[Appointment_Date]],"mmm-yyyy")</f>
        <v>Mar-2026</v>
      </c>
      <c r="J718" s="3">
        <v>45377</v>
      </c>
      <c r="K718" t="s">
        <v>1449</v>
      </c>
      <c r="L718" t="s">
        <v>23</v>
      </c>
      <c r="M718" s="4">
        <v>18.440000000000001</v>
      </c>
      <c r="N718" t="s">
        <v>20</v>
      </c>
      <c r="O718">
        <f>Patient_data[[#This Row],[Appointment_Date]]-Patient_data[[#This Row],[Booking_Date]]</f>
        <v>728</v>
      </c>
    </row>
    <row r="719" spans="1:15" x14ac:dyDescent="0.25">
      <c r="A719">
        <v>1054</v>
      </c>
      <c r="B719">
        <v>30</v>
      </c>
      <c r="C719" t="s">
        <v>1445</v>
      </c>
      <c r="D719" t="s">
        <v>377</v>
      </c>
      <c r="E719" t="s">
        <v>17</v>
      </c>
      <c r="F719" s="3">
        <v>46075</v>
      </c>
      <c r="G719" s="1">
        <f>YEAR(Patient_data[[#This Row],[Appointment_Date]])</f>
        <v>2026</v>
      </c>
      <c r="H719" s="2" t="str">
        <f>TEXT(Patient_data[[#This Row],[Appointment_Date]],"mmmm")</f>
        <v>February</v>
      </c>
      <c r="I719" s="3" t="str">
        <f>TEXT(Patient_data[[#This Row],[Appointment_Date]],"mmm-yyyy")</f>
        <v>Feb-2026</v>
      </c>
      <c r="J719" s="3">
        <v>45842</v>
      </c>
      <c r="K719" t="s">
        <v>1450</v>
      </c>
      <c r="L719" t="s">
        <v>23</v>
      </c>
      <c r="M719" s="4">
        <v>39.39</v>
      </c>
      <c r="N719" t="s">
        <v>20</v>
      </c>
      <c r="O719">
        <f>Patient_data[[#This Row],[Appointment_Date]]-Patient_data[[#This Row],[Booking_Date]]</f>
        <v>233</v>
      </c>
    </row>
    <row r="720" spans="1:15" x14ac:dyDescent="0.25">
      <c r="A720">
        <v>1029</v>
      </c>
      <c r="B720">
        <v>30</v>
      </c>
      <c r="C720" t="s">
        <v>1445</v>
      </c>
      <c r="D720" t="s">
        <v>1451</v>
      </c>
      <c r="E720" t="s">
        <v>28</v>
      </c>
      <c r="F720" s="3">
        <v>45857</v>
      </c>
      <c r="G720" s="1">
        <f>YEAR(Patient_data[[#This Row],[Appointment_Date]])</f>
        <v>2025</v>
      </c>
      <c r="H720" s="2" t="str">
        <f>TEXT(Patient_data[[#This Row],[Appointment_Date]],"mmmm")</f>
        <v>July</v>
      </c>
      <c r="I720" s="3" t="str">
        <f>TEXT(Patient_data[[#This Row],[Appointment_Date]],"mmm-yyyy")</f>
        <v>Jul-2025</v>
      </c>
      <c r="J720" s="3">
        <v>45789</v>
      </c>
      <c r="K720" t="s">
        <v>1452</v>
      </c>
      <c r="L720" t="s">
        <v>43</v>
      </c>
      <c r="M720" s="4">
        <v>51.11</v>
      </c>
      <c r="N720" t="s">
        <v>20</v>
      </c>
      <c r="O720">
        <f>Patient_data[[#This Row],[Appointment_Date]]-Patient_data[[#This Row],[Booking_Date]]</f>
        <v>68</v>
      </c>
    </row>
    <row r="721" spans="1:15" x14ac:dyDescent="0.25">
      <c r="A721">
        <v>1074</v>
      </c>
      <c r="B721">
        <v>30</v>
      </c>
      <c r="C721" t="s">
        <v>1445</v>
      </c>
      <c r="D721" t="s">
        <v>1453</v>
      </c>
      <c r="E721" t="s">
        <v>28</v>
      </c>
      <c r="F721" s="3">
        <v>45994</v>
      </c>
      <c r="G721" s="1">
        <f>YEAR(Patient_data[[#This Row],[Appointment_Date]])</f>
        <v>2025</v>
      </c>
      <c r="H721" s="2" t="str">
        <f>TEXT(Patient_data[[#This Row],[Appointment_Date]],"mmmm")</f>
        <v>December</v>
      </c>
      <c r="I721" s="3" t="str">
        <f>TEXT(Patient_data[[#This Row],[Appointment_Date]],"mmm-yyyy")</f>
        <v>Dec-2025</v>
      </c>
      <c r="J721" s="3">
        <v>45865</v>
      </c>
      <c r="K721" t="s">
        <v>1454</v>
      </c>
      <c r="L721" t="s">
        <v>43</v>
      </c>
      <c r="M721" s="4">
        <v>42.2</v>
      </c>
      <c r="N721" t="s">
        <v>24</v>
      </c>
      <c r="O721">
        <f>Patient_data[[#This Row],[Appointment_Date]]-Patient_data[[#This Row],[Booking_Date]]</f>
        <v>129</v>
      </c>
    </row>
    <row r="722" spans="1:15" x14ac:dyDescent="0.25">
      <c r="A722">
        <v>1077</v>
      </c>
      <c r="B722">
        <v>30</v>
      </c>
      <c r="C722" t="s">
        <v>1445</v>
      </c>
      <c r="D722" t="s">
        <v>1455</v>
      </c>
      <c r="E722" t="s">
        <v>17</v>
      </c>
      <c r="F722" s="3">
        <v>45882</v>
      </c>
      <c r="G722" s="1">
        <f>YEAR(Patient_data[[#This Row],[Appointment_Date]])</f>
        <v>2025</v>
      </c>
      <c r="H722" s="2" t="str">
        <f>TEXT(Patient_data[[#This Row],[Appointment_Date]],"mmmm")</f>
        <v>August</v>
      </c>
      <c r="I722" s="3" t="str">
        <f>TEXT(Patient_data[[#This Row],[Appointment_Date]],"mmm-yyyy")</f>
        <v>Aug-2025</v>
      </c>
      <c r="J722" s="3">
        <v>45698</v>
      </c>
      <c r="K722" t="s">
        <v>1456</v>
      </c>
      <c r="L722" t="s">
        <v>30</v>
      </c>
      <c r="M722" s="4">
        <v>1.94</v>
      </c>
      <c r="N722" t="s">
        <v>24</v>
      </c>
      <c r="O722">
        <f>Patient_data[[#This Row],[Appointment_Date]]-Patient_data[[#This Row],[Booking_Date]]</f>
        <v>184</v>
      </c>
    </row>
    <row r="723" spans="1:15" x14ac:dyDescent="0.25">
      <c r="A723">
        <v>1012</v>
      </c>
      <c r="B723">
        <v>30</v>
      </c>
      <c r="C723" t="s">
        <v>1445</v>
      </c>
      <c r="D723" t="s">
        <v>1457</v>
      </c>
      <c r="E723" t="s">
        <v>17</v>
      </c>
      <c r="F723" s="3">
        <v>46030</v>
      </c>
      <c r="G723" s="1">
        <f>YEAR(Patient_data[[#This Row],[Appointment_Date]])</f>
        <v>2026</v>
      </c>
      <c r="H723" s="2" t="str">
        <f>TEXT(Patient_data[[#This Row],[Appointment_Date]],"mmmm")</f>
        <v>January</v>
      </c>
      <c r="I723" s="3" t="str">
        <f>TEXT(Patient_data[[#This Row],[Appointment_Date]],"mmm-yyyy")</f>
        <v>Jan-2026</v>
      </c>
      <c r="J723" s="3">
        <v>45888</v>
      </c>
      <c r="K723" t="s">
        <v>1458</v>
      </c>
      <c r="L723" t="s">
        <v>30</v>
      </c>
      <c r="M723" s="4">
        <v>0.7</v>
      </c>
      <c r="N723" t="s">
        <v>24</v>
      </c>
      <c r="O723">
        <f>Patient_data[[#This Row],[Appointment_Date]]-Patient_data[[#This Row],[Booking_Date]]</f>
        <v>142</v>
      </c>
    </row>
    <row r="724" spans="1:15" x14ac:dyDescent="0.25">
      <c r="A724">
        <v>1072</v>
      </c>
      <c r="B724">
        <v>30</v>
      </c>
      <c r="C724" t="s">
        <v>1445</v>
      </c>
      <c r="D724" t="s">
        <v>1459</v>
      </c>
      <c r="E724" t="s">
        <v>28</v>
      </c>
      <c r="F724" s="3">
        <v>46047</v>
      </c>
      <c r="G724" s="1">
        <f>YEAR(Patient_data[[#This Row],[Appointment_Date]])</f>
        <v>2026</v>
      </c>
      <c r="H724" s="2" t="str">
        <f>TEXT(Patient_data[[#This Row],[Appointment_Date]],"mmmm")</f>
        <v>January</v>
      </c>
      <c r="I724" s="3" t="str">
        <f>TEXT(Patient_data[[#This Row],[Appointment_Date]],"mmm-yyyy")</f>
        <v>Jan-2026</v>
      </c>
      <c r="J724" s="3">
        <v>45931</v>
      </c>
      <c r="K724" t="s">
        <v>1460</v>
      </c>
      <c r="L724" t="s">
        <v>23</v>
      </c>
      <c r="M724" s="4">
        <v>222.37</v>
      </c>
      <c r="N724" t="s">
        <v>24</v>
      </c>
      <c r="O724">
        <f>Patient_data[[#This Row],[Appointment_Date]]-Patient_data[[#This Row],[Booking_Date]]</f>
        <v>116</v>
      </c>
    </row>
    <row r="725" spans="1:15" x14ac:dyDescent="0.25">
      <c r="A725">
        <v>1008</v>
      </c>
      <c r="B725">
        <v>30</v>
      </c>
      <c r="C725" t="s">
        <v>1445</v>
      </c>
      <c r="D725" t="s">
        <v>1461</v>
      </c>
      <c r="E725" t="s">
        <v>17</v>
      </c>
      <c r="F725" s="3">
        <v>46074</v>
      </c>
      <c r="G725" s="1">
        <f>YEAR(Patient_data[[#This Row],[Appointment_Date]])</f>
        <v>2026</v>
      </c>
      <c r="H725" s="2" t="str">
        <f>TEXT(Patient_data[[#This Row],[Appointment_Date]],"mmmm")</f>
        <v>February</v>
      </c>
      <c r="I725" s="3" t="str">
        <f>TEXT(Patient_data[[#This Row],[Appointment_Date]],"mmm-yyyy")</f>
        <v>Feb-2026</v>
      </c>
      <c r="J725" s="3">
        <v>45800</v>
      </c>
      <c r="K725" t="s">
        <v>1462</v>
      </c>
      <c r="L725" t="s">
        <v>30</v>
      </c>
      <c r="M725" s="4">
        <v>16.64</v>
      </c>
      <c r="N725" t="s">
        <v>24</v>
      </c>
      <c r="O725">
        <f>Patient_data[[#This Row],[Appointment_Date]]-Patient_data[[#This Row],[Booking_Date]]</f>
        <v>274</v>
      </c>
    </row>
    <row r="726" spans="1:15" x14ac:dyDescent="0.25">
      <c r="A726">
        <v>1090</v>
      </c>
      <c r="B726">
        <v>30</v>
      </c>
      <c r="C726" t="s">
        <v>1445</v>
      </c>
      <c r="D726" t="s">
        <v>1463</v>
      </c>
      <c r="E726" t="s">
        <v>28</v>
      </c>
      <c r="F726" s="3">
        <v>45801</v>
      </c>
      <c r="G726" s="1">
        <f>YEAR(Patient_data[[#This Row],[Appointment_Date]])</f>
        <v>2025</v>
      </c>
      <c r="H726" s="2" t="str">
        <f>TEXT(Patient_data[[#This Row],[Appointment_Date]],"mmmm")</f>
        <v>May</v>
      </c>
      <c r="I726" s="3" t="str">
        <f>TEXT(Patient_data[[#This Row],[Appointment_Date]],"mmm-yyyy")</f>
        <v>May-2025</v>
      </c>
      <c r="J726" s="3">
        <v>45478</v>
      </c>
      <c r="K726" t="s">
        <v>1464</v>
      </c>
      <c r="L726" t="s">
        <v>19</v>
      </c>
      <c r="M726" s="4">
        <v>139.49</v>
      </c>
      <c r="N726" t="s">
        <v>24</v>
      </c>
      <c r="O726">
        <f>Patient_data[[#This Row],[Appointment_Date]]-Patient_data[[#This Row],[Booking_Date]]</f>
        <v>323</v>
      </c>
    </row>
    <row r="727" spans="1:15" x14ac:dyDescent="0.25">
      <c r="A727">
        <v>1070</v>
      </c>
      <c r="B727">
        <v>30</v>
      </c>
      <c r="C727" t="s">
        <v>1445</v>
      </c>
      <c r="D727" t="s">
        <v>1465</v>
      </c>
      <c r="E727" t="s">
        <v>28</v>
      </c>
      <c r="F727" s="3">
        <v>45992</v>
      </c>
      <c r="G727" s="1">
        <f>YEAR(Patient_data[[#This Row],[Appointment_Date]])</f>
        <v>2025</v>
      </c>
      <c r="H727" s="2" t="str">
        <f>TEXT(Patient_data[[#This Row],[Appointment_Date]],"mmmm")</f>
        <v>December</v>
      </c>
      <c r="I727" s="3" t="str">
        <f>TEXT(Patient_data[[#This Row],[Appointment_Date]],"mmm-yyyy")</f>
        <v>Dec-2025</v>
      </c>
      <c r="J727" s="3">
        <v>45489</v>
      </c>
      <c r="K727" t="s">
        <v>1466</v>
      </c>
      <c r="L727" t="s">
        <v>43</v>
      </c>
      <c r="M727" s="4">
        <v>50.69</v>
      </c>
      <c r="N727" t="s">
        <v>20</v>
      </c>
      <c r="O727">
        <f>Patient_data[[#This Row],[Appointment_Date]]-Patient_data[[#This Row],[Booking_Date]]</f>
        <v>503</v>
      </c>
    </row>
    <row r="728" spans="1:15" x14ac:dyDescent="0.25">
      <c r="A728">
        <v>1085</v>
      </c>
      <c r="B728">
        <v>30</v>
      </c>
      <c r="C728" t="s">
        <v>1445</v>
      </c>
      <c r="D728" t="s">
        <v>1467</v>
      </c>
      <c r="E728" t="s">
        <v>17</v>
      </c>
      <c r="F728" s="3">
        <v>46014</v>
      </c>
      <c r="G728" s="1">
        <f>YEAR(Patient_data[[#This Row],[Appointment_Date]])</f>
        <v>2025</v>
      </c>
      <c r="H728" s="2" t="str">
        <f>TEXT(Patient_data[[#This Row],[Appointment_Date]],"mmmm")</f>
        <v>December</v>
      </c>
      <c r="I728" s="3" t="str">
        <f>TEXT(Patient_data[[#This Row],[Appointment_Date]],"mmm-yyyy")</f>
        <v>Dec-2025</v>
      </c>
      <c r="J728" s="3">
        <v>45455</v>
      </c>
      <c r="K728" t="s">
        <v>1468</v>
      </c>
      <c r="L728" t="s">
        <v>19</v>
      </c>
      <c r="M728" s="4">
        <v>299.12</v>
      </c>
      <c r="N728" t="s">
        <v>24</v>
      </c>
      <c r="O728">
        <f>Patient_data[[#This Row],[Appointment_Date]]-Patient_data[[#This Row],[Booking_Date]]</f>
        <v>559</v>
      </c>
    </row>
    <row r="729" spans="1:15" x14ac:dyDescent="0.25">
      <c r="A729">
        <v>1012</v>
      </c>
      <c r="B729">
        <v>30</v>
      </c>
      <c r="C729" t="s">
        <v>1445</v>
      </c>
      <c r="D729" t="s">
        <v>1469</v>
      </c>
      <c r="E729" t="s">
        <v>28</v>
      </c>
      <c r="F729" s="3">
        <v>45994</v>
      </c>
      <c r="G729" s="1">
        <f>YEAR(Patient_data[[#This Row],[Appointment_Date]])</f>
        <v>2025</v>
      </c>
      <c r="H729" s="2" t="str">
        <f>TEXT(Patient_data[[#This Row],[Appointment_Date]],"mmmm")</f>
        <v>December</v>
      </c>
      <c r="I729" s="3" t="str">
        <f>TEXT(Patient_data[[#This Row],[Appointment_Date]],"mmm-yyyy")</f>
        <v>Dec-2025</v>
      </c>
      <c r="J729" s="3">
        <v>45430</v>
      </c>
      <c r="K729" t="s">
        <v>1470</v>
      </c>
      <c r="L729" t="s">
        <v>19</v>
      </c>
      <c r="M729" s="4">
        <v>86.79</v>
      </c>
      <c r="N729" t="s">
        <v>24</v>
      </c>
      <c r="O729">
        <f>Patient_data[[#This Row],[Appointment_Date]]-Patient_data[[#This Row],[Booking_Date]]</f>
        <v>564</v>
      </c>
    </row>
    <row r="730" spans="1:15" x14ac:dyDescent="0.25">
      <c r="A730">
        <v>1009</v>
      </c>
      <c r="B730">
        <v>30</v>
      </c>
      <c r="C730" t="s">
        <v>1445</v>
      </c>
      <c r="D730" t="s">
        <v>1471</v>
      </c>
      <c r="E730" t="s">
        <v>28</v>
      </c>
      <c r="F730" s="3">
        <v>45835</v>
      </c>
      <c r="G730" s="1">
        <f>YEAR(Patient_data[[#This Row],[Appointment_Date]])</f>
        <v>2025</v>
      </c>
      <c r="H730" s="2" t="str">
        <f>TEXT(Patient_data[[#This Row],[Appointment_Date]],"mmmm")</f>
        <v>June</v>
      </c>
      <c r="I730" s="3" t="str">
        <f>TEXT(Patient_data[[#This Row],[Appointment_Date]],"mmm-yyyy")</f>
        <v>Jun-2025</v>
      </c>
      <c r="J730" s="3">
        <v>45798</v>
      </c>
      <c r="K730" t="s">
        <v>1472</v>
      </c>
      <c r="L730" t="s">
        <v>23</v>
      </c>
      <c r="M730" s="4">
        <v>68.86</v>
      </c>
      <c r="N730" t="s">
        <v>24</v>
      </c>
      <c r="O730">
        <f>Patient_data[[#This Row],[Appointment_Date]]-Patient_data[[#This Row],[Booking_Date]]</f>
        <v>37</v>
      </c>
    </row>
    <row r="731" spans="1:15" x14ac:dyDescent="0.25">
      <c r="A731">
        <v>1058</v>
      </c>
      <c r="B731">
        <v>30</v>
      </c>
      <c r="C731" t="s">
        <v>1445</v>
      </c>
      <c r="D731" t="s">
        <v>1473</v>
      </c>
      <c r="E731" t="s">
        <v>28</v>
      </c>
      <c r="F731" s="3">
        <v>46079</v>
      </c>
      <c r="G731" s="1">
        <f>YEAR(Patient_data[[#This Row],[Appointment_Date]])</f>
        <v>2026</v>
      </c>
      <c r="H731" s="2" t="str">
        <f>TEXT(Patient_data[[#This Row],[Appointment_Date]],"mmmm")</f>
        <v>February</v>
      </c>
      <c r="I731" s="3" t="str">
        <f>TEXT(Patient_data[[#This Row],[Appointment_Date]],"mmm-yyyy")</f>
        <v>Feb-2026</v>
      </c>
      <c r="J731" s="3">
        <v>46060</v>
      </c>
      <c r="K731" t="s">
        <v>1474</v>
      </c>
      <c r="L731" t="s">
        <v>23</v>
      </c>
      <c r="M731" s="4">
        <v>71.3</v>
      </c>
      <c r="N731" t="s">
        <v>20</v>
      </c>
      <c r="O731">
        <f>Patient_data[[#This Row],[Appointment_Date]]-Patient_data[[#This Row],[Booking_Date]]</f>
        <v>19</v>
      </c>
    </row>
    <row r="732" spans="1:15" x14ac:dyDescent="0.25">
      <c r="A732">
        <v>1077</v>
      </c>
      <c r="B732">
        <v>30</v>
      </c>
      <c r="C732" t="s">
        <v>1445</v>
      </c>
      <c r="D732" t="s">
        <v>1475</v>
      </c>
      <c r="E732" t="s">
        <v>17</v>
      </c>
      <c r="F732" s="3">
        <v>45806</v>
      </c>
      <c r="G732" s="1">
        <f>YEAR(Patient_data[[#This Row],[Appointment_Date]])</f>
        <v>2025</v>
      </c>
      <c r="H732" s="2" t="str">
        <f>TEXT(Patient_data[[#This Row],[Appointment_Date]],"mmmm")</f>
        <v>May</v>
      </c>
      <c r="I732" s="3" t="str">
        <f>TEXT(Patient_data[[#This Row],[Appointment_Date]],"mmm-yyyy")</f>
        <v>May-2025</v>
      </c>
      <c r="J732" s="3">
        <v>45683</v>
      </c>
      <c r="K732" t="s">
        <v>1476</v>
      </c>
      <c r="L732" t="s">
        <v>43</v>
      </c>
      <c r="M732" s="4">
        <v>25.8</v>
      </c>
      <c r="N732" t="s">
        <v>20</v>
      </c>
      <c r="O732">
        <f>Patient_data[[#This Row],[Appointment_Date]]-Patient_data[[#This Row],[Booking_Date]]</f>
        <v>123</v>
      </c>
    </row>
    <row r="733" spans="1:15" x14ac:dyDescent="0.25">
      <c r="A733">
        <v>1095</v>
      </c>
      <c r="B733">
        <v>29</v>
      </c>
      <c r="C733" t="s">
        <v>1445</v>
      </c>
      <c r="D733" t="s">
        <v>1477</v>
      </c>
      <c r="E733" t="s">
        <v>17</v>
      </c>
      <c r="F733" s="3">
        <v>45891</v>
      </c>
      <c r="G733" s="1">
        <f>YEAR(Patient_data[[#This Row],[Appointment_Date]])</f>
        <v>2025</v>
      </c>
      <c r="H733" s="2" t="str">
        <f>TEXT(Patient_data[[#This Row],[Appointment_Date]],"mmmm")</f>
        <v>August</v>
      </c>
      <c r="I733" s="3" t="str">
        <f>TEXT(Patient_data[[#This Row],[Appointment_Date]],"mmm-yyyy")</f>
        <v>Aug-2025</v>
      </c>
      <c r="J733" s="3">
        <v>45772</v>
      </c>
      <c r="K733" t="s">
        <v>1478</v>
      </c>
      <c r="L733" t="s">
        <v>19</v>
      </c>
      <c r="M733" s="4">
        <v>120.34</v>
      </c>
      <c r="N733" t="s">
        <v>24</v>
      </c>
      <c r="O733">
        <f>Patient_data[[#This Row],[Appointment_Date]]-Patient_data[[#This Row],[Booking_Date]]</f>
        <v>119</v>
      </c>
    </row>
    <row r="734" spans="1:15" x14ac:dyDescent="0.25">
      <c r="A734">
        <v>1073</v>
      </c>
      <c r="B734">
        <v>29</v>
      </c>
      <c r="C734" t="s">
        <v>1445</v>
      </c>
      <c r="D734" t="s">
        <v>1479</v>
      </c>
      <c r="E734" t="s">
        <v>17</v>
      </c>
      <c r="F734" s="3">
        <v>45865</v>
      </c>
      <c r="G734" s="1">
        <f>YEAR(Patient_data[[#This Row],[Appointment_Date]])</f>
        <v>2025</v>
      </c>
      <c r="H734" s="2" t="str">
        <f>TEXT(Patient_data[[#This Row],[Appointment_Date]],"mmmm")</f>
        <v>July</v>
      </c>
      <c r="I734" s="3" t="str">
        <f>TEXT(Patient_data[[#This Row],[Appointment_Date]],"mmm-yyyy")</f>
        <v>Jul-2025</v>
      </c>
      <c r="J734" s="3">
        <v>45816</v>
      </c>
      <c r="K734" t="s">
        <v>1480</v>
      </c>
      <c r="L734" t="s">
        <v>23</v>
      </c>
      <c r="M734" s="4">
        <v>6.74</v>
      </c>
      <c r="N734" t="s">
        <v>24</v>
      </c>
      <c r="O734">
        <f>Patient_data[[#This Row],[Appointment_Date]]-Patient_data[[#This Row],[Booking_Date]]</f>
        <v>49</v>
      </c>
    </row>
    <row r="735" spans="1:15" x14ac:dyDescent="0.25">
      <c r="A735">
        <v>1068</v>
      </c>
      <c r="B735">
        <v>29</v>
      </c>
      <c r="C735" t="s">
        <v>1445</v>
      </c>
      <c r="D735" t="s">
        <v>1481</v>
      </c>
      <c r="E735" t="s">
        <v>17</v>
      </c>
      <c r="F735" s="3">
        <v>45804</v>
      </c>
      <c r="G735" s="1">
        <f>YEAR(Patient_data[[#This Row],[Appointment_Date]])</f>
        <v>2025</v>
      </c>
      <c r="H735" s="2" t="str">
        <f>TEXT(Patient_data[[#This Row],[Appointment_Date]],"mmmm")</f>
        <v>May</v>
      </c>
      <c r="I735" s="3" t="str">
        <f>TEXT(Patient_data[[#This Row],[Appointment_Date]],"mmm-yyyy")</f>
        <v>May-2025</v>
      </c>
      <c r="J735" s="3">
        <v>45588</v>
      </c>
      <c r="K735" t="s">
        <v>1482</v>
      </c>
      <c r="L735" t="s">
        <v>23</v>
      </c>
      <c r="M735" s="4">
        <v>29.14</v>
      </c>
      <c r="N735" t="s">
        <v>24</v>
      </c>
      <c r="O735">
        <f>Patient_data[[#This Row],[Appointment_Date]]-Patient_data[[#This Row],[Booking_Date]]</f>
        <v>216</v>
      </c>
    </row>
    <row r="736" spans="1:15" x14ac:dyDescent="0.25">
      <c r="A736">
        <v>1036</v>
      </c>
      <c r="B736">
        <v>29</v>
      </c>
      <c r="C736" t="s">
        <v>1445</v>
      </c>
      <c r="D736" t="s">
        <v>1483</v>
      </c>
      <c r="E736" t="s">
        <v>28</v>
      </c>
      <c r="F736" s="3">
        <v>46050</v>
      </c>
      <c r="G736" s="1">
        <f>YEAR(Patient_data[[#This Row],[Appointment_Date]])</f>
        <v>2026</v>
      </c>
      <c r="H736" s="2" t="str">
        <f>TEXT(Patient_data[[#This Row],[Appointment_Date]],"mmmm")</f>
        <v>January</v>
      </c>
      <c r="I736" s="3" t="str">
        <f>TEXT(Patient_data[[#This Row],[Appointment_Date]],"mmm-yyyy")</f>
        <v>Jan-2026</v>
      </c>
      <c r="J736" s="3">
        <v>45629</v>
      </c>
      <c r="K736" t="s">
        <v>1484</v>
      </c>
      <c r="L736" t="s">
        <v>19</v>
      </c>
      <c r="M736" s="4">
        <v>64.45</v>
      </c>
      <c r="N736" t="s">
        <v>20</v>
      </c>
      <c r="O736">
        <f>Patient_data[[#This Row],[Appointment_Date]]-Patient_data[[#This Row],[Booking_Date]]</f>
        <v>421</v>
      </c>
    </row>
    <row r="737" spans="1:15" x14ac:dyDescent="0.25">
      <c r="A737">
        <v>1082</v>
      </c>
      <c r="B737">
        <v>29</v>
      </c>
      <c r="C737" t="s">
        <v>1445</v>
      </c>
      <c r="D737" t="s">
        <v>1485</v>
      </c>
      <c r="E737" t="s">
        <v>17</v>
      </c>
      <c r="F737" s="3">
        <v>45962</v>
      </c>
      <c r="G737" s="1">
        <f>YEAR(Patient_data[[#This Row],[Appointment_Date]])</f>
        <v>2025</v>
      </c>
      <c r="H737" s="2" t="str">
        <f>TEXT(Patient_data[[#This Row],[Appointment_Date]],"mmmm")</f>
        <v>November</v>
      </c>
      <c r="I737" s="3" t="str">
        <f>TEXT(Patient_data[[#This Row],[Appointment_Date]],"mmm-yyyy")</f>
        <v>Nov-2025</v>
      </c>
      <c r="J737" s="3">
        <v>45733</v>
      </c>
      <c r="K737" t="s">
        <v>1486</v>
      </c>
      <c r="L737" t="s">
        <v>19</v>
      </c>
      <c r="M737" s="4">
        <v>66.489999999999995</v>
      </c>
      <c r="N737" t="s">
        <v>20</v>
      </c>
      <c r="O737">
        <f>Patient_data[[#This Row],[Appointment_Date]]-Patient_data[[#This Row],[Booking_Date]]</f>
        <v>229</v>
      </c>
    </row>
    <row r="738" spans="1:15" x14ac:dyDescent="0.25">
      <c r="A738">
        <v>1003</v>
      </c>
      <c r="B738">
        <v>29</v>
      </c>
      <c r="C738" t="s">
        <v>1445</v>
      </c>
      <c r="D738" t="s">
        <v>1487</v>
      </c>
      <c r="E738" t="s">
        <v>28</v>
      </c>
      <c r="F738" s="3">
        <v>46076</v>
      </c>
      <c r="G738" s="1">
        <f>YEAR(Patient_data[[#This Row],[Appointment_Date]])</f>
        <v>2026</v>
      </c>
      <c r="H738" s="2" t="str">
        <f>TEXT(Patient_data[[#This Row],[Appointment_Date]],"mmmm")</f>
        <v>February</v>
      </c>
      <c r="I738" s="3" t="str">
        <f>TEXT(Patient_data[[#This Row],[Appointment_Date]],"mmm-yyyy")</f>
        <v>Feb-2026</v>
      </c>
      <c r="J738" s="3">
        <v>45386</v>
      </c>
      <c r="K738" t="s">
        <v>1488</v>
      </c>
      <c r="L738" t="s">
        <v>43</v>
      </c>
      <c r="M738" s="4">
        <v>55.55</v>
      </c>
      <c r="N738" t="s">
        <v>20</v>
      </c>
      <c r="O738">
        <f>Patient_data[[#This Row],[Appointment_Date]]-Patient_data[[#This Row],[Booking_Date]]</f>
        <v>690</v>
      </c>
    </row>
    <row r="739" spans="1:15" x14ac:dyDescent="0.25">
      <c r="A739">
        <v>1058</v>
      </c>
      <c r="B739">
        <v>29</v>
      </c>
      <c r="C739" t="s">
        <v>1445</v>
      </c>
      <c r="D739" t="s">
        <v>1489</v>
      </c>
      <c r="E739" t="s">
        <v>17</v>
      </c>
      <c r="F739" s="3">
        <v>45807</v>
      </c>
      <c r="G739" s="1">
        <f>YEAR(Patient_data[[#This Row],[Appointment_Date]])</f>
        <v>2025</v>
      </c>
      <c r="H739" s="2" t="str">
        <f>TEXT(Patient_data[[#This Row],[Appointment_Date]],"mmmm")</f>
        <v>May</v>
      </c>
      <c r="I739" s="3" t="str">
        <f>TEXT(Patient_data[[#This Row],[Appointment_Date]],"mmm-yyyy")</f>
        <v>May-2025</v>
      </c>
      <c r="J739" s="3">
        <v>45377</v>
      </c>
      <c r="K739" t="s">
        <v>1490</v>
      </c>
      <c r="L739" t="s">
        <v>23</v>
      </c>
      <c r="M739" s="4">
        <v>81.22</v>
      </c>
      <c r="N739" t="s">
        <v>24</v>
      </c>
      <c r="O739">
        <f>Patient_data[[#This Row],[Appointment_Date]]-Patient_data[[#This Row],[Booking_Date]]</f>
        <v>430</v>
      </c>
    </row>
    <row r="740" spans="1:15" x14ac:dyDescent="0.25">
      <c r="A740">
        <v>1016</v>
      </c>
      <c r="B740">
        <v>29</v>
      </c>
      <c r="C740" t="s">
        <v>1445</v>
      </c>
      <c r="D740" t="s">
        <v>1491</v>
      </c>
      <c r="E740" t="s">
        <v>17</v>
      </c>
      <c r="F740" s="3">
        <v>45971</v>
      </c>
      <c r="G740" s="1">
        <f>YEAR(Patient_data[[#This Row],[Appointment_Date]])</f>
        <v>2025</v>
      </c>
      <c r="H740" s="2" t="str">
        <f>TEXT(Patient_data[[#This Row],[Appointment_Date]],"mmmm")</f>
        <v>November</v>
      </c>
      <c r="I740" s="3" t="str">
        <f>TEXT(Patient_data[[#This Row],[Appointment_Date]],"mmm-yyyy")</f>
        <v>Nov-2025</v>
      </c>
      <c r="J740" s="3">
        <v>45794</v>
      </c>
      <c r="K740" t="s">
        <v>1492</v>
      </c>
      <c r="L740" t="s">
        <v>30</v>
      </c>
      <c r="M740" s="4">
        <v>241.81</v>
      </c>
      <c r="N740" t="s">
        <v>24</v>
      </c>
      <c r="O740">
        <f>Patient_data[[#This Row],[Appointment_Date]]-Patient_data[[#This Row],[Booking_Date]]</f>
        <v>177</v>
      </c>
    </row>
    <row r="741" spans="1:15" x14ac:dyDescent="0.25">
      <c r="A741">
        <v>1098</v>
      </c>
      <c r="B741">
        <v>29</v>
      </c>
      <c r="C741" t="s">
        <v>1445</v>
      </c>
      <c r="D741" t="s">
        <v>1493</v>
      </c>
      <c r="E741" t="s">
        <v>28</v>
      </c>
      <c r="F741" s="3">
        <v>45970</v>
      </c>
      <c r="G741" s="1">
        <f>YEAR(Patient_data[[#This Row],[Appointment_Date]])</f>
        <v>2025</v>
      </c>
      <c r="H741" s="2" t="str">
        <f>TEXT(Patient_data[[#This Row],[Appointment_Date]],"mmmm")</f>
        <v>November</v>
      </c>
      <c r="I741" s="3" t="str">
        <f>TEXT(Patient_data[[#This Row],[Appointment_Date]],"mmm-yyyy")</f>
        <v>Nov-2025</v>
      </c>
      <c r="J741" s="3">
        <v>45854</v>
      </c>
      <c r="K741" t="s">
        <v>1494</v>
      </c>
      <c r="L741" t="s">
        <v>30</v>
      </c>
      <c r="M741" s="4">
        <v>58.68</v>
      </c>
      <c r="N741" t="s">
        <v>20</v>
      </c>
      <c r="O741">
        <f>Patient_data[[#This Row],[Appointment_Date]]-Patient_data[[#This Row],[Booking_Date]]</f>
        <v>116</v>
      </c>
    </row>
    <row r="742" spans="1:15" x14ac:dyDescent="0.25">
      <c r="A742">
        <v>1015</v>
      </c>
      <c r="B742">
        <v>29</v>
      </c>
      <c r="C742" t="s">
        <v>1445</v>
      </c>
      <c r="D742" t="s">
        <v>1495</v>
      </c>
      <c r="E742" t="s">
        <v>17</v>
      </c>
      <c r="F742" s="3">
        <v>45819</v>
      </c>
      <c r="G742" s="1">
        <f>YEAR(Patient_data[[#This Row],[Appointment_Date]])</f>
        <v>2025</v>
      </c>
      <c r="H742" s="2" t="str">
        <f>TEXT(Patient_data[[#This Row],[Appointment_Date]],"mmmm")</f>
        <v>June</v>
      </c>
      <c r="I742" s="3" t="str">
        <f>TEXT(Patient_data[[#This Row],[Appointment_Date]],"mmm-yyyy")</f>
        <v>Jun-2025</v>
      </c>
      <c r="J742" s="3">
        <v>45475</v>
      </c>
      <c r="K742" t="s">
        <v>1496</v>
      </c>
      <c r="L742" t="s">
        <v>30</v>
      </c>
      <c r="M742" s="4">
        <v>63.04</v>
      </c>
      <c r="N742" t="s">
        <v>24</v>
      </c>
      <c r="O742">
        <f>Patient_data[[#This Row],[Appointment_Date]]-Patient_data[[#This Row],[Booking_Date]]</f>
        <v>344</v>
      </c>
    </row>
    <row r="743" spans="1:15" x14ac:dyDescent="0.25">
      <c r="A743">
        <v>1038</v>
      </c>
      <c r="B743">
        <v>29</v>
      </c>
      <c r="C743" t="s">
        <v>1445</v>
      </c>
      <c r="D743" t="s">
        <v>1497</v>
      </c>
      <c r="E743" t="s">
        <v>28</v>
      </c>
      <c r="F743" s="3">
        <v>46073</v>
      </c>
      <c r="G743" s="1">
        <f>YEAR(Patient_data[[#This Row],[Appointment_Date]])</f>
        <v>2026</v>
      </c>
      <c r="H743" s="2" t="str">
        <f>TEXT(Patient_data[[#This Row],[Appointment_Date]],"mmmm")</f>
        <v>February</v>
      </c>
      <c r="I743" s="3" t="str">
        <f>TEXT(Patient_data[[#This Row],[Appointment_Date]],"mmm-yyyy")</f>
        <v>Feb-2026</v>
      </c>
      <c r="J743" s="3">
        <v>45526</v>
      </c>
      <c r="K743" t="s">
        <v>1498</v>
      </c>
      <c r="L743" t="s">
        <v>19</v>
      </c>
      <c r="M743" s="4">
        <v>62.15</v>
      </c>
      <c r="N743" t="s">
        <v>20</v>
      </c>
      <c r="O743">
        <f>Patient_data[[#This Row],[Appointment_Date]]-Patient_data[[#This Row],[Booking_Date]]</f>
        <v>547</v>
      </c>
    </row>
    <row r="744" spans="1:15" x14ac:dyDescent="0.25">
      <c r="A744">
        <v>1014</v>
      </c>
      <c r="B744">
        <v>29</v>
      </c>
      <c r="C744" t="s">
        <v>1445</v>
      </c>
      <c r="D744" t="s">
        <v>1499</v>
      </c>
      <c r="E744" t="s">
        <v>28</v>
      </c>
      <c r="F744" s="3">
        <v>45903</v>
      </c>
      <c r="G744" s="1">
        <f>YEAR(Patient_data[[#This Row],[Appointment_Date]])</f>
        <v>2025</v>
      </c>
      <c r="H744" s="2" t="str">
        <f>TEXT(Patient_data[[#This Row],[Appointment_Date]],"mmmm")</f>
        <v>September</v>
      </c>
      <c r="I744" s="3" t="str">
        <f>TEXT(Patient_data[[#This Row],[Appointment_Date]],"mmm-yyyy")</f>
        <v>Sep-2025</v>
      </c>
      <c r="J744" s="3">
        <v>45500</v>
      </c>
      <c r="K744" t="s">
        <v>1500</v>
      </c>
      <c r="L744" t="s">
        <v>23</v>
      </c>
      <c r="M744" s="4">
        <v>7.34</v>
      </c>
      <c r="N744" t="s">
        <v>20</v>
      </c>
      <c r="O744">
        <f>Patient_data[[#This Row],[Appointment_Date]]-Patient_data[[#This Row],[Booking_Date]]</f>
        <v>403</v>
      </c>
    </row>
    <row r="745" spans="1:15" x14ac:dyDescent="0.25">
      <c r="A745">
        <v>1054</v>
      </c>
      <c r="B745">
        <v>29</v>
      </c>
      <c r="C745" t="s">
        <v>1445</v>
      </c>
      <c r="D745" t="s">
        <v>1501</v>
      </c>
      <c r="E745" t="s">
        <v>17</v>
      </c>
      <c r="F745" s="3">
        <v>45794</v>
      </c>
      <c r="G745" s="1">
        <f>YEAR(Patient_data[[#This Row],[Appointment_Date]])</f>
        <v>2025</v>
      </c>
      <c r="H745" s="2" t="str">
        <f>TEXT(Patient_data[[#This Row],[Appointment_Date]],"mmmm")</f>
        <v>May</v>
      </c>
      <c r="I745" s="3" t="str">
        <f>TEXT(Patient_data[[#This Row],[Appointment_Date]],"mmm-yyyy")</f>
        <v>May-2025</v>
      </c>
      <c r="J745" s="3">
        <v>45571</v>
      </c>
      <c r="K745" t="s">
        <v>1502</v>
      </c>
      <c r="L745" t="s">
        <v>19</v>
      </c>
      <c r="M745" s="4">
        <v>41.42</v>
      </c>
      <c r="N745" t="s">
        <v>20</v>
      </c>
      <c r="O745">
        <f>Patient_data[[#This Row],[Appointment_Date]]-Patient_data[[#This Row],[Booking_Date]]</f>
        <v>223</v>
      </c>
    </row>
    <row r="746" spans="1:15" x14ac:dyDescent="0.25">
      <c r="A746">
        <v>1046</v>
      </c>
      <c r="B746">
        <v>29</v>
      </c>
      <c r="C746" t="s">
        <v>1445</v>
      </c>
      <c r="D746" t="s">
        <v>1503</v>
      </c>
      <c r="E746" t="s">
        <v>28</v>
      </c>
      <c r="F746" s="3">
        <v>45754</v>
      </c>
      <c r="G746" s="1">
        <f>YEAR(Patient_data[[#This Row],[Appointment_Date]])</f>
        <v>2025</v>
      </c>
      <c r="H746" s="2" t="str">
        <f>TEXT(Patient_data[[#This Row],[Appointment_Date]],"mmmm")</f>
        <v>April</v>
      </c>
      <c r="I746" s="3" t="str">
        <f>TEXT(Patient_data[[#This Row],[Appointment_Date]],"mmm-yyyy")</f>
        <v>Apr-2025</v>
      </c>
      <c r="J746" s="3">
        <v>45445</v>
      </c>
      <c r="K746" t="s">
        <v>1504</v>
      </c>
      <c r="L746" t="s">
        <v>30</v>
      </c>
      <c r="M746" s="4">
        <v>6.94</v>
      </c>
      <c r="N746" t="s">
        <v>24</v>
      </c>
      <c r="O746">
        <f>Patient_data[[#This Row],[Appointment_Date]]-Patient_data[[#This Row],[Booking_Date]]</f>
        <v>309</v>
      </c>
    </row>
    <row r="747" spans="1:15" x14ac:dyDescent="0.25">
      <c r="A747">
        <v>1014</v>
      </c>
      <c r="B747">
        <v>29</v>
      </c>
      <c r="C747" t="s">
        <v>1445</v>
      </c>
      <c r="D747" t="s">
        <v>1505</v>
      </c>
      <c r="E747" t="s">
        <v>28</v>
      </c>
      <c r="F747" s="3">
        <v>46021</v>
      </c>
      <c r="G747" s="1">
        <f>YEAR(Patient_data[[#This Row],[Appointment_Date]])</f>
        <v>2025</v>
      </c>
      <c r="H747" s="2" t="str">
        <f>TEXT(Patient_data[[#This Row],[Appointment_Date]],"mmmm")</f>
        <v>December</v>
      </c>
      <c r="I747" s="3" t="str">
        <f>TEXT(Patient_data[[#This Row],[Appointment_Date]],"mmm-yyyy")</f>
        <v>Dec-2025</v>
      </c>
      <c r="J747" s="3">
        <v>45877</v>
      </c>
      <c r="K747" t="s">
        <v>1506</v>
      </c>
      <c r="L747" t="s">
        <v>19</v>
      </c>
      <c r="M747" s="4">
        <v>44.2</v>
      </c>
      <c r="N747" t="s">
        <v>20</v>
      </c>
      <c r="O747">
        <f>Patient_data[[#This Row],[Appointment_Date]]-Patient_data[[#This Row],[Booking_Date]]</f>
        <v>144</v>
      </c>
    </row>
    <row r="748" spans="1:15" x14ac:dyDescent="0.25">
      <c r="A748">
        <v>1045</v>
      </c>
      <c r="B748">
        <v>29</v>
      </c>
      <c r="C748" t="s">
        <v>1445</v>
      </c>
      <c r="D748" t="s">
        <v>1507</v>
      </c>
      <c r="E748" t="s">
        <v>28</v>
      </c>
      <c r="F748" s="3">
        <v>45856</v>
      </c>
      <c r="G748" s="1">
        <f>YEAR(Patient_data[[#This Row],[Appointment_Date]])</f>
        <v>2025</v>
      </c>
      <c r="H748" s="2" t="str">
        <f>TEXT(Patient_data[[#This Row],[Appointment_Date]],"mmmm")</f>
        <v>July</v>
      </c>
      <c r="I748" s="3" t="str">
        <f>TEXT(Patient_data[[#This Row],[Appointment_Date]],"mmm-yyyy")</f>
        <v>Jul-2025</v>
      </c>
      <c r="J748" s="3">
        <v>45740</v>
      </c>
      <c r="K748" t="s">
        <v>1508</v>
      </c>
      <c r="L748" t="s">
        <v>19</v>
      </c>
      <c r="M748" s="4">
        <v>1.58</v>
      </c>
      <c r="N748" t="s">
        <v>20</v>
      </c>
      <c r="O748">
        <f>Patient_data[[#This Row],[Appointment_Date]]-Patient_data[[#This Row],[Booking_Date]]</f>
        <v>116</v>
      </c>
    </row>
    <row r="749" spans="1:15" x14ac:dyDescent="0.25">
      <c r="A749">
        <v>1099</v>
      </c>
      <c r="B749">
        <v>28</v>
      </c>
      <c r="C749" t="s">
        <v>1445</v>
      </c>
      <c r="D749" t="s">
        <v>1509</v>
      </c>
      <c r="E749" t="s">
        <v>28</v>
      </c>
      <c r="F749" s="3">
        <v>45859</v>
      </c>
      <c r="G749" s="1">
        <f>YEAR(Patient_data[[#This Row],[Appointment_Date]])</f>
        <v>2025</v>
      </c>
      <c r="H749" s="2" t="str">
        <f>TEXT(Patient_data[[#This Row],[Appointment_Date]],"mmmm")</f>
        <v>July</v>
      </c>
      <c r="I749" s="3" t="str">
        <f>TEXT(Patient_data[[#This Row],[Appointment_Date]],"mmm-yyyy")</f>
        <v>Jul-2025</v>
      </c>
      <c r="J749" s="3">
        <v>45852</v>
      </c>
      <c r="K749" t="s">
        <v>1510</v>
      </c>
      <c r="L749" t="s">
        <v>19</v>
      </c>
      <c r="M749" s="4">
        <v>12.48</v>
      </c>
      <c r="N749" t="s">
        <v>24</v>
      </c>
      <c r="O749">
        <f>Patient_data[[#This Row],[Appointment_Date]]-Patient_data[[#This Row],[Booking_Date]]</f>
        <v>7</v>
      </c>
    </row>
    <row r="750" spans="1:15" x14ac:dyDescent="0.25">
      <c r="A750">
        <v>1070</v>
      </c>
      <c r="B750">
        <v>28</v>
      </c>
      <c r="C750" t="s">
        <v>1445</v>
      </c>
      <c r="D750" t="s">
        <v>1511</v>
      </c>
      <c r="E750" t="s">
        <v>28</v>
      </c>
      <c r="F750" s="3">
        <v>45938</v>
      </c>
      <c r="G750" s="1">
        <f>YEAR(Patient_data[[#This Row],[Appointment_Date]])</f>
        <v>2025</v>
      </c>
      <c r="H750" s="2" t="str">
        <f>TEXT(Patient_data[[#This Row],[Appointment_Date]],"mmmm")</f>
        <v>October</v>
      </c>
      <c r="I750" s="3" t="str">
        <f>TEXT(Patient_data[[#This Row],[Appointment_Date]],"mmm-yyyy")</f>
        <v>Oct-2025</v>
      </c>
      <c r="J750" s="3">
        <v>45787</v>
      </c>
      <c r="K750" t="s">
        <v>1512</v>
      </c>
      <c r="L750" t="s">
        <v>19</v>
      </c>
      <c r="M750" s="4">
        <v>35.69</v>
      </c>
      <c r="N750" t="s">
        <v>20</v>
      </c>
      <c r="O750">
        <f>Patient_data[[#This Row],[Appointment_Date]]-Patient_data[[#This Row],[Booking_Date]]</f>
        <v>151</v>
      </c>
    </row>
    <row r="751" spans="1:15" x14ac:dyDescent="0.25">
      <c r="A751">
        <v>1057</v>
      </c>
      <c r="B751">
        <v>28</v>
      </c>
      <c r="C751" t="s">
        <v>1445</v>
      </c>
      <c r="D751" t="s">
        <v>1513</v>
      </c>
      <c r="E751" t="s">
        <v>28</v>
      </c>
      <c r="F751" s="3">
        <v>45816</v>
      </c>
      <c r="G751" s="1">
        <f>YEAR(Patient_data[[#This Row],[Appointment_Date]])</f>
        <v>2025</v>
      </c>
      <c r="H751" s="2" t="str">
        <f>TEXT(Patient_data[[#This Row],[Appointment_Date]],"mmmm")</f>
        <v>June</v>
      </c>
      <c r="I751" s="3" t="str">
        <f>TEXT(Patient_data[[#This Row],[Appointment_Date]],"mmm-yyyy")</f>
        <v>Jun-2025</v>
      </c>
      <c r="J751" s="3">
        <v>45814</v>
      </c>
      <c r="K751" t="s">
        <v>1514</v>
      </c>
      <c r="L751" t="s">
        <v>19</v>
      </c>
      <c r="M751" s="4">
        <v>40.72</v>
      </c>
      <c r="N751" t="s">
        <v>20</v>
      </c>
      <c r="O751">
        <f>Patient_data[[#This Row],[Appointment_Date]]-Patient_data[[#This Row],[Booking_Date]]</f>
        <v>2</v>
      </c>
    </row>
    <row r="752" spans="1:15" x14ac:dyDescent="0.25">
      <c r="A752">
        <v>1066</v>
      </c>
      <c r="B752">
        <v>28</v>
      </c>
      <c r="C752" t="s">
        <v>1445</v>
      </c>
      <c r="D752" t="s">
        <v>1515</v>
      </c>
      <c r="E752" t="s">
        <v>17</v>
      </c>
      <c r="F752" s="3">
        <v>45910</v>
      </c>
      <c r="G752" s="1">
        <f>YEAR(Patient_data[[#This Row],[Appointment_Date]])</f>
        <v>2025</v>
      </c>
      <c r="H752" s="2" t="str">
        <f>TEXT(Patient_data[[#This Row],[Appointment_Date]],"mmmm")</f>
        <v>September</v>
      </c>
      <c r="I752" s="3" t="str">
        <f>TEXT(Patient_data[[#This Row],[Appointment_Date]],"mmm-yyyy")</f>
        <v>Sep-2025</v>
      </c>
      <c r="J752" s="3">
        <v>45768</v>
      </c>
      <c r="K752" t="s">
        <v>1516</v>
      </c>
      <c r="L752" t="s">
        <v>30</v>
      </c>
      <c r="M752" s="4">
        <v>57.83</v>
      </c>
      <c r="N752" t="s">
        <v>24</v>
      </c>
      <c r="O752">
        <f>Patient_data[[#This Row],[Appointment_Date]]-Patient_data[[#This Row],[Booking_Date]]</f>
        <v>142</v>
      </c>
    </row>
    <row r="753" spans="1:15" x14ac:dyDescent="0.25">
      <c r="A753">
        <v>1065</v>
      </c>
      <c r="B753">
        <v>28</v>
      </c>
      <c r="C753" t="s">
        <v>1445</v>
      </c>
      <c r="D753" t="s">
        <v>1517</v>
      </c>
      <c r="E753" t="s">
        <v>17</v>
      </c>
      <c r="F753" s="3">
        <v>45893</v>
      </c>
      <c r="G753" s="1">
        <f>YEAR(Patient_data[[#This Row],[Appointment_Date]])</f>
        <v>2025</v>
      </c>
      <c r="H753" s="2" t="str">
        <f>TEXT(Patient_data[[#This Row],[Appointment_Date]],"mmmm")</f>
        <v>August</v>
      </c>
      <c r="I753" s="3" t="str">
        <f>TEXT(Patient_data[[#This Row],[Appointment_Date]],"mmm-yyyy")</f>
        <v>Aug-2025</v>
      </c>
      <c r="J753" s="3">
        <v>45867</v>
      </c>
      <c r="K753" t="s">
        <v>1518</v>
      </c>
      <c r="L753" t="s">
        <v>19</v>
      </c>
      <c r="M753" s="4">
        <v>31.7</v>
      </c>
      <c r="N753" t="s">
        <v>24</v>
      </c>
      <c r="O753">
        <f>Patient_data[[#This Row],[Appointment_Date]]-Patient_data[[#This Row],[Booking_Date]]</f>
        <v>26</v>
      </c>
    </row>
    <row r="754" spans="1:15" x14ac:dyDescent="0.25">
      <c r="A754">
        <v>1043</v>
      </c>
      <c r="B754">
        <v>28</v>
      </c>
      <c r="C754" t="s">
        <v>1445</v>
      </c>
      <c r="D754" t="s">
        <v>1519</v>
      </c>
      <c r="E754" t="s">
        <v>17</v>
      </c>
      <c r="F754" s="3">
        <v>45927</v>
      </c>
      <c r="G754" s="1">
        <f>YEAR(Patient_data[[#This Row],[Appointment_Date]])</f>
        <v>2025</v>
      </c>
      <c r="H754" s="2" t="str">
        <f>TEXT(Patient_data[[#This Row],[Appointment_Date]],"mmmm")</f>
        <v>September</v>
      </c>
      <c r="I754" s="3" t="str">
        <f>TEXT(Patient_data[[#This Row],[Appointment_Date]],"mmm-yyyy")</f>
        <v>Sep-2025</v>
      </c>
      <c r="J754" s="3">
        <v>45827</v>
      </c>
      <c r="K754" t="s">
        <v>1520</v>
      </c>
      <c r="L754" t="s">
        <v>23</v>
      </c>
      <c r="M754" s="4">
        <v>88.29</v>
      </c>
      <c r="N754" t="s">
        <v>20</v>
      </c>
      <c r="O754">
        <f>Patient_data[[#This Row],[Appointment_Date]]-Patient_data[[#This Row],[Booking_Date]]</f>
        <v>100</v>
      </c>
    </row>
    <row r="755" spans="1:15" x14ac:dyDescent="0.25">
      <c r="A755">
        <v>1032</v>
      </c>
      <c r="B755">
        <v>28</v>
      </c>
      <c r="C755" t="s">
        <v>1445</v>
      </c>
      <c r="D755" t="s">
        <v>1521</v>
      </c>
      <c r="E755" t="s">
        <v>17</v>
      </c>
      <c r="F755" s="3">
        <v>45852</v>
      </c>
      <c r="G755" s="1">
        <f>YEAR(Patient_data[[#This Row],[Appointment_Date]])</f>
        <v>2025</v>
      </c>
      <c r="H755" s="2" t="str">
        <f>TEXT(Patient_data[[#This Row],[Appointment_Date]],"mmmm")</f>
        <v>July</v>
      </c>
      <c r="I755" s="3" t="str">
        <f>TEXT(Patient_data[[#This Row],[Appointment_Date]],"mmm-yyyy")</f>
        <v>Jul-2025</v>
      </c>
      <c r="J755" s="3">
        <v>45520</v>
      </c>
      <c r="K755" t="s">
        <v>1522</v>
      </c>
      <c r="L755" t="s">
        <v>19</v>
      </c>
      <c r="M755" s="4">
        <v>403.78</v>
      </c>
      <c r="N755" t="s">
        <v>24</v>
      </c>
      <c r="O755">
        <f>Patient_data[[#This Row],[Appointment_Date]]-Patient_data[[#This Row],[Booking_Date]]</f>
        <v>332</v>
      </c>
    </row>
    <row r="756" spans="1:15" x14ac:dyDescent="0.25">
      <c r="A756">
        <v>1087</v>
      </c>
      <c r="B756">
        <v>28</v>
      </c>
      <c r="C756" t="s">
        <v>1445</v>
      </c>
      <c r="D756" t="s">
        <v>1523</v>
      </c>
      <c r="E756" t="s">
        <v>17</v>
      </c>
      <c r="F756" s="3">
        <v>46104</v>
      </c>
      <c r="G756" s="1">
        <f>YEAR(Patient_data[[#This Row],[Appointment_Date]])</f>
        <v>2026</v>
      </c>
      <c r="H756" s="2" t="str">
        <f>TEXT(Patient_data[[#This Row],[Appointment_Date]],"mmmm")</f>
        <v>March</v>
      </c>
      <c r="I756" s="3" t="str">
        <f>TEXT(Patient_data[[#This Row],[Appointment_Date]],"mmm-yyyy")</f>
        <v>Mar-2026</v>
      </c>
      <c r="J756" s="3">
        <v>45383</v>
      </c>
      <c r="K756" t="s">
        <v>1524</v>
      </c>
      <c r="L756" t="s">
        <v>30</v>
      </c>
      <c r="M756" s="4">
        <v>7.79</v>
      </c>
      <c r="N756" t="s">
        <v>24</v>
      </c>
      <c r="O756">
        <f>Patient_data[[#This Row],[Appointment_Date]]-Patient_data[[#This Row],[Booking_Date]]</f>
        <v>721</v>
      </c>
    </row>
    <row r="757" spans="1:15" x14ac:dyDescent="0.25">
      <c r="A757">
        <v>1021</v>
      </c>
      <c r="B757">
        <v>28</v>
      </c>
      <c r="C757" t="s">
        <v>1445</v>
      </c>
      <c r="D757" t="s">
        <v>1525</v>
      </c>
      <c r="E757" t="s">
        <v>28</v>
      </c>
      <c r="F757" s="3">
        <v>45884</v>
      </c>
      <c r="G757" s="1">
        <f>YEAR(Patient_data[[#This Row],[Appointment_Date]])</f>
        <v>2025</v>
      </c>
      <c r="H757" s="2" t="str">
        <f>TEXT(Patient_data[[#This Row],[Appointment_Date]],"mmmm")</f>
        <v>August</v>
      </c>
      <c r="I757" s="3" t="str">
        <f>TEXT(Patient_data[[#This Row],[Appointment_Date]],"mmm-yyyy")</f>
        <v>Aug-2025</v>
      </c>
      <c r="J757" s="3">
        <v>45613</v>
      </c>
      <c r="K757" t="s">
        <v>1526</v>
      </c>
      <c r="L757" t="s">
        <v>30</v>
      </c>
      <c r="M757" s="4">
        <v>74.540000000000006</v>
      </c>
      <c r="N757" t="s">
        <v>24</v>
      </c>
      <c r="O757">
        <f>Patient_data[[#This Row],[Appointment_Date]]-Patient_data[[#This Row],[Booking_Date]]</f>
        <v>271</v>
      </c>
    </row>
    <row r="758" spans="1:15" x14ac:dyDescent="0.25">
      <c r="A758">
        <v>1046</v>
      </c>
      <c r="B758">
        <v>28</v>
      </c>
      <c r="C758" t="s">
        <v>1445</v>
      </c>
      <c r="D758" t="s">
        <v>725</v>
      </c>
      <c r="E758" t="s">
        <v>28</v>
      </c>
      <c r="F758" s="3">
        <v>45767</v>
      </c>
      <c r="G758" s="1">
        <f>YEAR(Patient_data[[#This Row],[Appointment_Date]])</f>
        <v>2025</v>
      </c>
      <c r="H758" s="2" t="str">
        <f>TEXT(Patient_data[[#This Row],[Appointment_Date]],"mmmm")</f>
        <v>April</v>
      </c>
      <c r="I758" s="3" t="str">
        <f>TEXT(Patient_data[[#This Row],[Appointment_Date]],"mmm-yyyy")</f>
        <v>Apr-2025</v>
      </c>
      <c r="J758" s="3">
        <v>45505</v>
      </c>
      <c r="K758" t="s">
        <v>1527</v>
      </c>
      <c r="L758" t="s">
        <v>43</v>
      </c>
      <c r="M758" s="4">
        <v>9.76</v>
      </c>
      <c r="N758" t="s">
        <v>24</v>
      </c>
      <c r="O758">
        <f>Patient_data[[#This Row],[Appointment_Date]]-Patient_data[[#This Row],[Booking_Date]]</f>
        <v>262</v>
      </c>
    </row>
    <row r="759" spans="1:15" x14ac:dyDescent="0.25">
      <c r="A759">
        <v>1067</v>
      </c>
      <c r="B759">
        <v>28</v>
      </c>
      <c r="C759" t="s">
        <v>1445</v>
      </c>
      <c r="D759" t="s">
        <v>1528</v>
      </c>
      <c r="E759" t="s">
        <v>17</v>
      </c>
      <c r="F759" s="3">
        <v>46029</v>
      </c>
      <c r="G759" s="1">
        <f>YEAR(Patient_data[[#This Row],[Appointment_Date]])</f>
        <v>2026</v>
      </c>
      <c r="H759" s="2" t="str">
        <f>TEXT(Patient_data[[#This Row],[Appointment_Date]],"mmmm")</f>
        <v>January</v>
      </c>
      <c r="I759" s="3" t="str">
        <f>TEXT(Patient_data[[#This Row],[Appointment_Date]],"mmm-yyyy")</f>
        <v>Jan-2026</v>
      </c>
      <c r="J759" s="3">
        <v>45892</v>
      </c>
      <c r="K759" t="s">
        <v>1529</v>
      </c>
      <c r="L759" t="s">
        <v>30</v>
      </c>
      <c r="M759" s="4">
        <v>344.67</v>
      </c>
      <c r="N759" t="s">
        <v>24</v>
      </c>
      <c r="O759">
        <f>Patient_data[[#This Row],[Appointment_Date]]-Patient_data[[#This Row],[Booking_Date]]</f>
        <v>137</v>
      </c>
    </row>
    <row r="760" spans="1:15" x14ac:dyDescent="0.25">
      <c r="A760">
        <v>1002</v>
      </c>
      <c r="B760">
        <v>28</v>
      </c>
      <c r="C760" t="s">
        <v>1445</v>
      </c>
      <c r="D760" t="s">
        <v>1530</v>
      </c>
      <c r="E760" t="s">
        <v>17</v>
      </c>
      <c r="F760" s="3">
        <v>45810</v>
      </c>
      <c r="G760" s="1">
        <f>YEAR(Patient_data[[#This Row],[Appointment_Date]])</f>
        <v>2025</v>
      </c>
      <c r="H760" s="2" t="str">
        <f>TEXT(Patient_data[[#This Row],[Appointment_Date]],"mmmm")</f>
        <v>June</v>
      </c>
      <c r="I760" s="3" t="str">
        <f>TEXT(Patient_data[[#This Row],[Appointment_Date]],"mmm-yyyy")</f>
        <v>Jun-2025</v>
      </c>
      <c r="J760" s="3">
        <v>45464</v>
      </c>
      <c r="K760" t="s">
        <v>1531</v>
      </c>
      <c r="L760" t="s">
        <v>19</v>
      </c>
      <c r="M760" s="4">
        <v>70.709999999999994</v>
      </c>
      <c r="N760" t="s">
        <v>20</v>
      </c>
      <c r="O760">
        <f>Patient_data[[#This Row],[Appointment_Date]]-Patient_data[[#This Row],[Booking_Date]]</f>
        <v>346</v>
      </c>
    </row>
    <row r="761" spans="1:15" x14ac:dyDescent="0.25">
      <c r="A761">
        <v>1025</v>
      </c>
      <c r="B761">
        <v>28</v>
      </c>
      <c r="C761" t="s">
        <v>1445</v>
      </c>
      <c r="D761" t="s">
        <v>1532</v>
      </c>
      <c r="E761" t="s">
        <v>28</v>
      </c>
      <c r="F761" s="3">
        <v>45956</v>
      </c>
      <c r="G761" s="1">
        <f>YEAR(Patient_data[[#This Row],[Appointment_Date]])</f>
        <v>2025</v>
      </c>
      <c r="H761" s="2" t="str">
        <f>TEXT(Patient_data[[#This Row],[Appointment_Date]],"mmmm")</f>
        <v>October</v>
      </c>
      <c r="I761" s="3" t="str">
        <f>TEXT(Patient_data[[#This Row],[Appointment_Date]],"mmm-yyyy")</f>
        <v>Oct-2025</v>
      </c>
      <c r="J761" s="3">
        <v>45710</v>
      </c>
      <c r="K761" t="s">
        <v>1533</v>
      </c>
      <c r="L761" t="s">
        <v>43</v>
      </c>
      <c r="M761" s="4">
        <v>44.38</v>
      </c>
      <c r="N761" t="s">
        <v>24</v>
      </c>
      <c r="O761">
        <f>Patient_data[[#This Row],[Appointment_Date]]-Patient_data[[#This Row],[Booking_Date]]</f>
        <v>246</v>
      </c>
    </row>
    <row r="762" spans="1:15" x14ac:dyDescent="0.25">
      <c r="A762">
        <v>1021</v>
      </c>
      <c r="B762">
        <v>27</v>
      </c>
      <c r="C762" t="s">
        <v>1445</v>
      </c>
      <c r="D762" t="s">
        <v>1534</v>
      </c>
      <c r="E762" t="s">
        <v>17</v>
      </c>
      <c r="F762" s="3">
        <v>45781</v>
      </c>
      <c r="G762" s="1">
        <f>YEAR(Patient_data[[#This Row],[Appointment_Date]])</f>
        <v>2025</v>
      </c>
      <c r="H762" s="2" t="str">
        <f>TEXT(Patient_data[[#This Row],[Appointment_Date]],"mmmm")</f>
        <v>May</v>
      </c>
      <c r="I762" s="3" t="str">
        <f>TEXT(Patient_data[[#This Row],[Appointment_Date]],"mmm-yyyy")</f>
        <v>May-2025</v>
      </c>
      <c r="J762" s="3">
        <v>45484</v>
      </c>
      <c r="K762" t="s">
        <v>1535</v>
      </c>
      <c r="L762" t="s">
        <v>23</v>
      </c>
      <c r="M762" s="4">
        <v>86.57</v>
      </c>
      <c r="N762" t="s">
        <v>24</v>
      </c>
      <c r="O762">
        <f>Patient_data[[#This Row],[Appointment_Date]]-Patient_data[[#This Row],[Booking_Date]]</f>
        <v>297</v>
      </c>
    </row>
    <row r="763" spans="1:15" x14ac:dyDescent="0.25">
      <c r="A763">
        <v>1059</v>
      </c>
      <c r="B763">
        <v>27</v>
      </c>
      <c r="C763" t="s">
        <v>1445</v>
      </c>
      <c r="D763" t="s">
        <v>1536</v>
      </c>
      <c r="E763" t="s">
        <v>17</v>
      </c>
      <c r="F763" s="3">
        <v>45892</v>
      </c>
      <c r="G763" s="1">
        <f>YEAR(Patient_data[[#This Row],[Appointment_Date]])</f>
        <v>2025</v>
      </c>
      <c r="H763" s="2" t="str">
        <f>TEXT(Patient_data[[#This Row],[Appointment_Date]],"mmmm")</f>
        <v>August</v>
      </c>
      <c r="I763" s="3" t="str">
        <f>TEXT(Patient_data[[#This Row],[Appointment_Date]],"mmm-yyyy")</f>
        <v>Aug-2025</v>
      </c>
      <c r="J763" s="3">
        <v>45608</v>
      </c>
      <c r="K763" t="s">
        <v>1537</v>
      </c>
      <c r="L763" t="s">
        <v>23</v>
      </c>
      <c r="M763" s="4">
        <v>65.8</v>
      </c>
      <c r="N763" t="s">
        <v>24</v>
      </c>
      <c r="O763">
        <f>Patient_data[[#This Row],[Appointment_Date]]-Patient_data[[#This Row],[Booking_Date]]</f>
        <v>284</v>
      </c>
    </row>
    <row r="764" spans="1:15" x14ac:dyDescent="0.25">
      <c r="A764">
        <v>1091</v>
      </c>
      <c r="B764">
        <v>27</v>
      </c>
      <c r="C764" t="s">
        <v>1445</v>
      </c>
      <c r="D764" t="s">
        <v>1538</v>
      </c>
      <c r="E764" t="s">
        <v>17</v>
      </c>
      <c r="F764" s="3">
        <v>46031</v>
      </c>
      <c r="G764" s="1">
        <f>YEAR(Patient_data[[#This Row],[Appointment_Date]])</f>
        <v>2026</v>
      </c>
      <c r="H764" s="2" t="str">
        <f>TEXT(Patient_data[[#This Row],[Appointment_Date]],"mmmm")</f>
        <v>January</v>
      </c>
      <c r="I764" s="3" t="str">
        <f>TEXT(Patient_data[[#This Row],[Appointment_Date]],"mmm-yyyy")</f>
        <v>Jan-2026</v>
      </c>
      <c r="J764" s="3">
        <v>45732</v>
      </c>
      <c r="K764" t="s">
        <v>1539</v>
      </c>
      <c r="L764" t="s">
        <v>43</v>
      </c>
      <c r="M764" s="4">
        <v>70.25</v>
      </c>
      <c r="N764" t="s">
        <v>20</v>
      </c>
      <c r="O764">
        <f>Patient_data[[#This Row],[Appointment_Date]]-Patient_data[[#This Row],[Booking_Date]]</f>
        <v>299</v>
      </c>
    </row>
    <row r="765" spans="1:15" x14ac:dyDescent="0.25">
      <c r="A765">
        <v>1036</v>
      </c>
      <c r="B765">
        <v>27</v>
      </c>
      <c r="C765" t="s">
        <v>1445</v>
      </c>
      <c r="D765" t="s">
        <v>1540</v>
      </c>
      <c r="E765" t="s">
        <v>17</v>
      </c>
      <c r="F765" s="3">
        <v>46101</v>
      </c>
      <c r="G765" s="1">
        <f>YEAR(Patient_data[[#This Row],[Appointment_Date]])</f>
        <v>2026</v>
      </c>
      <c r="H765" s="2" t="str">
        <f>TEXT(Patient_data[[#This Row],[Appointment_Date]],"mmmm")</f>
        <v>March</v>
      </c>
      <c r="I765" s="3" t="str">
        <f>TEXT(Patient_data[[#This Row],[Appointment_Date]],"mmm-yyyy")</f>
        <v>Mar-2026</v>
      </c>
      <c r="J765" s="3">
        <v>46062</v>
      </c>
      <c r="K765" t="s">
        <v>1541</v>
      </c>
      <c r="L765" t="s">
        <v>30</v>
      </c>
      <c r="M765" s="4">
        <v>52.38</v>
      </c>
      <c r="N765" t="s">
        <v>24</v>
      </c>
      <c r="O765">
        <f>Patient_data[[#This Row],[Appointment_Date]]-Patient_data[[#This Row],[Booking_Date]]</f>
        <v>39</v>
      </c>
    </row>
    <row r="766" spans="1:15" x14ac:dyDescent="0.25">
      <c r="A766">
        <v>1075</v>
      </c>
      <c r="B766">
        <v>27</v>
      </c>
      <c r="C766" t="s">
        <v>1445</v>
      </c>
      <c r="D766" t="s">
        <v>1542</v>
      </c>
      <c r="E766" t="s">
        <v>28</v>
      </c>
      <c r="F766" s="3">
        <v>45754</v>
      </c>
      <c r="G766" s="1">
        <f>YEAR(Patient_data[[#This Row],[Appointment_Date]])</f>
        <v>2025</v>
      </c>
      <c r="H766" s="2" t="str">
        <f>TEXT(Patient_data[[#This Row],[Appointment_Date]],"mmmm")</f>
        <v>April</v>
      </c>
      <c r="I766" s="3" t="str">
        <f>TEXT(Patient_data[[#This Row],[Appointment_Date]],"mmm-yyyy")</f>
        <v>Apr-2025</v>
      </c>
      <c r="J766" s="3">
        <v>45384</v>
      </c>
      <c r="K766" t="s">
        <v>1543</v>
      </c>
      <c r="L766" t="s">
        <v>43</v>
      </c>
      <c r="M766" s="4">
        <v>8.8000000000000007</v>
      </c>
      <c r="N766" t="s">
        <v>20</v>
      </c>
      <c r="O766">
        <f>Patient_data[[#This Row],[Appointment_Date]]-Patient_data[[#This Row],[Booking_Date]]</f>
        <v>370</v>
      </c>
    </row>
    <row r="767" spans="1:15" x14ac:dyDescent="0.25">
      <c r="A767">
        <v>1013</v>
      </c>
      <c r="B767">
        <v>27</v>
      </c>
      <c r="C767" t="s">
        <v>1445</v>
      </c>
      <c r="D767" t="s">
        <v>1544</v>
      </c>
      <c r="E767" t="s">
        <v>28</v>
      </c>
      <c r="F767" s="3">
        <v>46027</v>
      </c>
      <c r="G767" s="1">
        <f>YEAR(Patient_data[[#This Row],[Appointment_Date]])</f>
        <v>2026</v>
      </c>
      <c r="H767" s="2" t="str">
        <f>TEXT(Patient_data[[#This Row],[Appointment_Date]],"mmmm")</f>
        <v>January</v>
      </c>
      <c r="I767" s="3" t="str">
        <f>TEXT(Patient_data[[#This Row],[Appointment_Date]],"mmm-yyyy")</f>
        <v>Jan-2026</v>
      </c>
      <c r="J767" s="3">
        <v>45638</v>
      </c>
      <c r="K767" t="s">
        <v>1545</v>
      </c>
      <c r="L767" t="s">
        <v>19</v>
      </c>
      <c r="M767" s="4">
        <v>79.39</v>
      </c>
      <c r="N767" t="s">
        <v>24</v>
      </c>
      <c r="O767">
        <f>Patient_data[[#This Row],[Appointment_Date]]-Patient_data[[#This Row],[Booking_Date]]</f>
        <v>389</v>
      </c>
    </row>
    <row r="768" spans="1:15" x14ac:dyDescent="0.25">
      <c r="A768">
        <v>1081</v>
      </c>
      <c r="B768">
        <v>27</v>
      </c>
      <c r="C768" t="s">
        <v>1445</v>
      </c>
      <c r="D768" t="s">
        <v>1546</v>
      </c>
      <c r="E768" t="s">
        <v>17</v>
      </c>
      <c r="F768" s="3">
        <v>45854</v>
      </c>
      <c r="G768" s="1">
        <f>YEAR(Patient_data[[#This Row],[Appointment_Date]])</f>
        <v>2025</v>
      </c>
      <c r="H768" s="2" t="str">
        <f>TEXT(Patient_data[[#This Row],[Appointment_Date]],"mmmm")</f>
        <v>July</v>
      </c>
      <c r="I768" s="3" t="str">
        <f>TEXT(Patient_data[[#This Row],[Appointment_Date]],"mmm-yyyy")</f>
        <v>Jul-2025</v>
      </c>
      <c r="J768" s="3">
        <v>45821</v>
      </c>
      <c r="K768" t="s">
        <v>1547</v>
      </c>
      <c r="L768" t="s">
        <v>43</v>
      </c>
      <c r="M768" s="4">
        <v>288.43</v>
      </c>
      <c r="N768" t="s">
        <v>24</v>
      </c>
      <c r="O768">
        <f>Patient_data[[#This Row],[Appointment_Date]]-Patient_data[[#This Row],[Booking_Date]]</f>
        <v>33</v>
      </c>
    </row>
    <row r="769" spans="1:15" x14ac:dyDescent="0.25">
      <c r="A769">
        <v>1064</v>
      </c>
      <c r="B769">
        <v>27</v>
      </c>
      <c r="C769" t="s">
        <v>1445</v>
      </c>
      <c r="D769" t="s">
        <v>1548</v>
      </c>
      <c r="E769" t="s">
        <v>28</v>
      </c>
      <c r="F769" s="3">
        <v>46073</v>
      </c>
      <c r="G769" s="1">
        <f>YEAR(Patient_data[[#This Row],[Appointment_Date]])</f>
        <v>2026</v>
      </c>
      <c r="H769" s="2" t="str">
        <f>TEXT(Patient_data[[#This Row],[Appointment_Date]],"mmmm")</f>
        <v>February</v>
      </c>
      <c r="I769" s="3" t="str">
        <f>TEXT(Patient_data[[#This Row],[Appointment_Date]],"mmm-yyyy")</f>
        <v>Feb-2026</v>
      </c>
      <c r="J769" s="3">
        <v>45844</v>
      </c>
      <c r="K769" t="s">
        <v>1549</v>
      </c>
      <c r="L769" t="s">
        <v>23</v>
      </c>
      <c r="M769" s="4">
        <v>73.849999999999994</v>
      </c>
      <c r="N769" t="s">
        <v>24</v>
      </c>
      <c r="O769">
        <f>Patient_data[[#This Row],[Appointment_Date]]-Patient_data[[#This Row],[Booking_Date]]</f>
        <v>229</v>
      </c>
    </row>
    <row r="770" spans="1:15" x14ac:dyDescent="0.25">
      <c r="A770">
        <v>1098</v>
      </c>
      <c r="B770">
        <v>27</v>
      </c>
      <c r="C770" t="s">
        <v>1445</v>
      </c>
      <c r="D770" t="s">
        <v>1550</v>
      </c>
      <c r="E770" t="s">
        <v>17</v>
      </c>
      <c r="F770" s="3">
        <v>45883</v>
      </c>
      <c r="G770" s="1">
        <f>YEAR(Patient_data[[#This Row],[Appointment_Date]])</f>
        <v>2025</v>
      </c>
      <c r="H770" s="2" t="str">
        <f>TEXT(Patient_data[[#This Row],[Appointment_Date]],"mmmm")</f>
        <v>August</v>
      </c>
      <c r="I770" s="3" t="str">
        <f>TEXT(Patient_data[[#This Row],[Appointment_Date]],"mmm-yyyy")</f>
        <v>Aug-2025</v>
      </c>
      <c r="J770" s="3">
        <v>45628</v>
      </c>
      <c r="K770" t="s">
        <v>1551</v>
      </c>
      <c r="L770" t="s">
        <v>43</v>
      </c>
      <c r="M770" s="4">
        <v>72.47</v>
      </c>
      <c r="N770" t="s">
        <v>20</v>
      </c>
      <c r="O770">
        <f>Patient_data[[#This Row],[Appointment_Date]]-Patient_data[[#This Row],[Booking_Date]]</f>
        <v>255</v>
      </c>
    </row>
    <row r="771" spans="1:15" x14ac:dyDescent="0.25">
      <c r="A771">
        <v>1003</v>
      </c>
      <c r="B771">
        <v>27</v>
      </c>
      <c r="C771" t="s">
        <v>1445</v>
      </c>
      <c r="D771" t="s">
        <v>1552</v>
      </c>
      <c r="E771" t="s">
        <v>17</v>
      </c>
      <c r="F771" s="3">
        <v>45813</v>
      </c>
      <c r="G771" s="1">
        <f>YEAR(Patient_data[[#This Row],[Appointment_Date]])</f>
        <v>2025</v>
      </c>
      <c r="H771" s="2" t="str">
        <f>TEXT(Patient_data[[#This Row],[Appointment_Date]],"mmmm")</f>
        <v>June</v>
      </c>
      <c r="I771" s="3" t="str">
        <f>TEXT(Patient_data[[#This Row],[Appointment_Date]],"mmm-yyyy")</f>
        <v>Jun-2025</v>
      </c>
      <c r="J771" s="3">
        <v>45729</v>
      </c>
      <c r="K771" t="s">
        <v>1553</v>
      </c>
      <c r="L771" t="s">
        <v>43</v>
      </c>
      <c r="M771" s="4">
        <v>435.1</v>
      </c>
      <c r="N771" t="s">
        <v>24</v>
      </c>
      <c r="O771">
        <f>Patient_data[[#This Row],[Appointment_Date]]-Patient_data[[#This Row],[Booking_Date]]</f>
        <v>84</v>
      </c>
    </row>
    <row r="772" spans="1:15" x14ac:dyDescent="0.25">
      <c r="A772">
        <v>1001</v>
      </c>
      <c r="B772">
        <v>27</v>
      </c>
      <c r="C772" t="s">
        <v>1445</v>
      </c>
      <c r="D772" t="s">
        <v>1554</v>
      </c>
      <c r="E772" t="s">
        <v>28</v>
      </c>
      <c r="F772" s="3">
        <v>45887</v>
      </c>
      <c r="G772" s="1">
        <f>YEAR(Patient_data[[#This Row],[Appointment_Date]])</f>
        <v>2025</v>
      </c>
      <c r="H772" s="2" t="str">
        <f>TEXT(Patient_data[[#This Row],[Appointment_Date]],"mmmm")</f>
        <v>August</v>
      </c>
      <c r="I772" s="3" t="str">
        <f>TEXT(Patient_data[[#This Row],[Appointment_Date]],"mmm-yyyy")</f>
        <v>Aug-2025</v>
      </c>
      <c r="J772" s="3">
        <v>45800</v>
      </c>
      <c r="K772" t="s">
        <v>1555</v>
      </c>
      <c r="L772" t="s">
        <v>19</v>
      </c>
      <c r="M772" s="4">
        <v>80.760000000000005</v>
      </c>
      <c r="N772" t="s">
        <v>20</v>
      </c>
      <c r="O772">
        <f>Patient_data[[#This Row],[Appointment_Date]]-Patient_data[[#This Row],[Booking_Date]]</f>
        <v>87</v>
      </c>
    </row>
    <row r="773" spans="1:15" x14ac:dyDescent="0.25">
      <c r="A773">
        <v>1027</v>
      </c>
      <c r="B773">
        <v>27</v>
      </c>
      <c r="C773" t="s">
        <v>1445</v>
      </c>
      <c r="D773" t="s">
        <v>1556</v>
      </c>
      <c r="E773" t="s">
        <v>28</v>
      </c>
      <c r="F773" s="3">
        <v>45842</v>
      </c>
      <c r="G773" s="1">
        <f>YEAR(Patient_data[[#This Row],[Appointment_Date]])</f>
        <v>2025</v>
      </c>
      <c r="H773" s="2" t="str">
        <f>TEXT(Patient_data[[#This Row],[Appointment_Date]],"mmmm")</f>
        <v>July</v>
      </c>
      <c r="I773" s="3" t="str">
        <f>TEXT(Patient_data[[#This Row],[Appointment_Date]],"mmm-yyyy")</f>
        <v>Jul-2025</v>
      </c>
      <c r="J773" s="3">
        <v>45733</v>
      </c>
      <c r="K773" t="s">
        <v>1557</v>
      </c>
      <c r="L773" t="s">
        <v>43</v>
      </c>
      <c r="M773" s="4">
        <v>21.57</v>
      </c>
      <c r="N773" t="s">
        <v>24</v>
      </c>
      <c r="O773">
        <f>Patient_data[[#This Row],[Appointment_Date]]-Patient_data[[#This Row],[Booking_Date]]</f>
        <v>109</v>
      </c>
    </row>
    <row r="774" spans="1:15" x14ac:dyDescent="0.25">
      <c r="A774">
        <v>1058</v>
      </c>
      <c r="B774">
        <v>27</v>
      </c>
      <c r="C774" t="s">
        <v>1445</v>
      </c>
      <c r="D774" t="s">
        <v>1558</v>
      </c>
      <c r="E774" t="s">
        <v>17</v>
      </c>
      <c r="F774" s="3">
        <v>45863</v>
      </c>
      <c r="G774" s="1">
        <f>YEAR(Patient_data[[#This Row],[Appointment_Date]])</f>
        <v>2025</v>
      </c>
      <c r="H774" s="2" t="str">
        <f>TEXT(Patient_data[[#This Row],[Appointment_Date]],"mmmm")</f>
        <v>July</v>
      </c>
      <c r="I774" s="3" t="str">
        <f>TEXT(Patient_data[[#This Row],[Appointment_Date]],"mmm-yyyy")</f>
        <v>Jul-2025</v>
      </c>
      <c r="J774" s="3">
        <v>45532</v>
      </c>
      <c r="K774" t="s">
        <v>1559</v>
      </c>
      <c r="L774" t="s">
        <v>43</v>
      </c>
      <c r="M774" s="4">
        <v>6.69</v>
      </c>
      <c r="N774" t="s">
        <v>20</v>
      </c>
      <c r="O774">
        <f>Patient_data[[#This Row],[Appointment_Date]]-Patient_data[[#This Row],[Booking_Date]]</f>
        <v>331</v>
      </c>
    </row>
    <row r="775" spans="1:15" x14ac:dyDescent="0.25">
      <c r="A775">
        <v>1097</v>
      </c>
      <c r="B775">
        <v>27</v>
      </c>
      <c r="C775" t="s">
        <v>1445</v>
      </c>
      <c r="D775" t="s">
        <v>1560</v>
      </c>
      <c r="E775" t="s">
        <v>17</v>
      </c>
      <c r="F775" s="3">
        <v>45963</v>
      </c>
      <c r="G775" s="1">
        <f>YEAR(Patient_data[[#This Row],[Appointment_Date]])</f>
        <v>2025</v>
      </c>
      <c r="H775" s="2" t="str">
        <f>TEXT(Patient_data[[#This Row],[Appointment_Date]],"mmmm")</f>
        <v>November</v>
      </c>
      <c r="I775" s="3" t="str">
        <f>TEXT(Patient_data[[#This Row],[Appointment_Date]],"mmm-yyyy")</f>
        <v>Nov-2025</v>
      </c>
      <c r="J775" s="3">
        <v>45407</v>
      </c>
      <c r="K775" t="s">
        <v>1561</v>
      </c>
      <c r="L775" t="s">
        <v>23</v>
      </c>
      <c r="M775" s="4">
        <v>42.3</v>
      </c>
      <c r="N775" t="s">
        <v>24</v>
      </c>
      <c r="O775">
        <f>Patient_data[[#This Row],[Appointment_Date]]-Patient_data[[#This Row],[Booking_Date]]</f>
        <v>556</v>
      </c>
    </row>
    <row r="776" spans="1:15" x14ac:dyDescent="0.25">
      <c r="A776">
        <v>1051</v>
      </c>
      <c r="B776">
        <v>26</v>
      </c>
      <c r="C776" t="s">
        <v>1445</v>
      </c>
      <c r="D776" t="s">
        <v>1562</v>
      </c>
      <c r="E776" t="s">
        <v>17</v>
      </c>
      <c r="F776" s="3">
        <v>45815</v>
      </c>
      <c r="G776" s="1">
        <f>YEAR(Patient_data[[#This Row],[Appointment_Date]])</f>
        <v>2025</v>
      </c>
      <c r="H776" s="2" t="str">
        <f>TEXT(Patient_data[[#This Row],[Appointment_Date]],"mmmm")</f>
        <v>June</v>
      </c>
      <c r="I776" s="3" t="str">
        <f>TEXT(Patient_data[[#This Row],[Appointment_Date]],"mmm-yyyy")</f>
        <v>Jun-2025</v>
      </c>
      <c r="J776" s="3">
        <v>45635</v>
      </c>
      <c r="K776" t="s">
        <v>1563</v>
      </c>
      <c r="L776" t="s">
        <v>43</v>
      </c>
      <c r="M776" s="4">
        <v>40.25</v>
      </c>
      <c r="N776" t="s">
        <v>24</v>
      </c>
      <c r="O776">
        <f>Patient_data[[#This Row],[Appointment_Date]]-Patient_data[[#This Row],[Booking_Date]]</f>
        <v>180</v>
      </c>
    </row>
    <row r="777" spans="1:15" x14ac:dyDescent="0.25">
      <c r="A777">
        <v>1040</v>
      </c>
      <c r="B777">
        <v>26</v>
      </c>
      <c r="C777" t="s">
        <v>1445</v>
      </c>
      <c r="D777" t="s">
        <v>1564</v>
      </c>
      <c r="E777" t="s">
        <v>17</v>
      </c>
      <c r="F777" s="3">
        <v>45883</v>
      </c>
      <c r="G777" s="1">
        <f>YEAR(Patient_data[[#This Row],[Appointment_Date]])</f>
        <v>2025</v>
      </c>
      <c r="H777" s="2" t="str">
        <f>TEXT(Patient_data[[#This Row],[Appointment_Date]],"mmmm")</f>
        <v>August</v>
      </c>
      <c r="I777" s="3" t="str">
        <f>TEXT(Patient_data[[#This Row],[Appointment_Date]],"mmm-yyyy")</f>
        <v>Aug-2025</v>
      </c>
      <c r="J777" s="3">
        <v>45446</v>
      </c>
      <c r="K777" t="s">
        <v>1565</v>
      </c>
      <c r="L777" t="s">
        <v>30</v>
      </c>
      <c r="M777" s="4">
        <v>185.66</v>
      </c>
      <c r="N777" t="s">
        <v>24</v>
      </c>
      <c r="O777">
        <f>Patient_data[[#This Row],[Appointment_Date]]-Patient_data[[#This Row],[Booking_Date]]</f>
        <v>437</v>
      </c>
    </row>
    <row r="778" spans="1:15" x14ac:dyDescent="0.25">
      <c r="A778">
        <v>1014</v>
      </c>
      <c r="B778">
        <v>26</v>
      </c>
      <c r="C778" t="s">
        <v>1445</v>
      </c>
      <c r="D778" t="s">
        <v>1566</v>
      </c>
      <c r="E778" t="s">
        <v>17</v>
      </c>
      <c r="F778" s="3">
        <v>45928</v>
      </c>
      <c r="G778" s="1">
        <f>YEAR(Patient_data[[#This Row],[Appointment_Date]])</f>
        <v>2025</v>
      </c>
      <c r="H778" s="2" t="str">
        <f>TEXT(Patient_data[[#This Row],[Appointment_Date]],"mmmm")</f>
        <v>September</v>
      </c>
      <c r="I778" s="3" t="str">
        <f>TEXT(Patient_data[[#This Row],[Appointment_Date]],"mmm-yyyy")</f>
        <v>Sep-2025</v>
      </c>
      <c r="J778" s="3">
        <v>45481</v>
      </c>
      <c r="K778" t="s">
        <v>1567</v>
      </c>
      <c r="L778" t="s">
        <v>30</v>
      </c>
      <c r="M778" s="4">
        <v>53.4</v>
      </c>
      <c r="N778" t="s">
        <v>24</v>
      </c>
      <c r="O778">
        <f>Patient_data[[#This Row],[Appointment_Date]]-Patient_data[[#This Row],[Booking_Date]]</f>
        <v>447</v>
      </c>
    </row>
    <row r="779" spans="1:15" x14ac:dyDescent="0.25">
      <c r="A779">
        <v>1088</v>
      </c>
      <c r="B779">
        <v>26</v>
      </c>
      <c r="C779" t="s">
        <v>1445</v>
      </c>
      <c r="D779" t="s">
        <v>1568</v>
      </c>
      <c r="E779" t="s">
        <v>28</v>
      </c>
      <c r="F779" s="3">
        <v>46085</v>
      </c>
      <c r="G779" s="1">
        <f>YEAR(Patient_data[[#This Row],[Appointment_Date]])</f>
        <v>2026</v>
      </c>
      <c r="H779" s="2" t="str">
        <f>TEXT(Patient_data[[#This Row],[Appointment_Date]],"mmmm")</f>
        <v>March</v>
      </c>
      <c r="I779" s="3" t="str">
        <f>TEXT(Patient_data[[#This Row],[Appointment_Date]],"mmm-yyyy")</f>
        <v>Mar-2026</v>
      </c>
      <c r="J779" s="3">
        <v>46019</v>
      </c>
      <c r="K779" t="s">
        <v>1402</v>
      </c>
      <c r="L779" t="s">
        <v>30</v>
      </c>
      <c r="M779" s="4">
        <v>71.67</v>
      </c>
      <c r="N779" t="s">
        <v>20</v>
      </c>
      <c r="O779">
        <f>Patient_data[[#This Row],[Appointment_Date]]-Patient_data[[#This Row],[Booking_Date]]</f>
        <v>66</v>
      </c>
    </row>
    <row r="780" spans="1:15" x14ac:dyDescent="0.25">
      <c r="A780">
        <v>1024</v>
      </c>
      <c r="B780">
        <v>26</v>
      </c>
      <c r="C780" t="s">
        <v>1445</v>
      </c>
      <c r="D780" t="s">
        <v>1569</v>
      </c>
      <c r="E780" t="s">
        <v>17</v>
      </c>
      <c r="F780" s="3">
        <v>45950</v>
      </c>
      <c r="G780" s="1">
        <f>YEAR(Patient_data[[#This Row],[Appointment_Date]])</f>
        <v>2025</v>
      </c>
      <c r="H780" s="2" t="str">
        <f>TEXT(Patient_data[[#This Row],[Appointment_Date]],"mmmm")</f>
        <v>October</v>
      </c>
      <c r="I780" s="3" t="str">
        <f>TEXT(Patient_data[[#This Row],[Appointment_Date]],"mmm-yyyy")</f>
        <v>Oct-2025</v>
      </c>
      <c r="J780" s="3">
        <v>45544</v>
      </c>
      <c r="K780" t="s">
        <v>1570</v>
      </c>
      <c r="L780" t="s">
        <v>43</v>
      </c>
      <c r="M780" s="4">
        <v>10.42</v>
      </c>
      <c r="N780" t="s">
        <v>20</v>
      </c>
      <c r="O780">
        <f>Patient_data[[#This Row],[Appointment_Date]]-Patient_data[[#This Row],[Booking_Date]]</f>
        <v>406</v>
      </c>
    </row>
    <row r="781" spans="1:15" x14ac:dyDescent="0.25">
      <c r="A781">
        <v>1027</v>
      </c>
      <c r="B781">
        <v>26</v>
      </c>
      <c r="C781" t="s">
        <v>1445</v>
      </c>
      <c r="D781" t="s">
        <v>1571</v>
      </c>
      <c r="E781" t="s">
        <v>28</v>
      </c>
      <c r="F781" s="3">
        <v>46104</v>
      </c>
      <c r="G781" s="1">
        <f>YEAR(Patient_data[[#This Row],[Appointment_Date]])</f>
        <v>2026</v>
      </c>
      <c r="H781" s="2" t="str">
        <f>TEXT(Patient_data[[#This Row],[Appointment_Date]],"mmmm")</f>
        <v>March</v>
      </c>
      <c r="I781" s="3" t="str">
        <f>TEXT(Patient_data[[#This Row],[Appointment_Date]],"mmm-yyyy")</f>
        <v>Mar-2026</v>
      </c>
      <c r="J781" s="3">
        <v>45668</v>
      </c>
      <c r="K781" t="s">
        <v>1572</v>
      </c>
      <c r="L781" t="s">
        <v>43</v>
      </c>
      <c r="M781" s="4">
        <v>37.1</v>
      </c>
      <c r="N781" t="s">
        <v>20</v>
      </c>
      <c r="O781">
        <f>Patient_data[[#This Row],[Appointment_Date]]-Patient_data[[#This Row],[Booking_Date]]</f>
        <v>436</v>
      </c>
    </row>
    <row r="782" spans="1:15" x14ac:dyDescent="0.25">
      <c r="A782">
        <v>1028</v>
      </c>
      <c r="B782">
        <v>26</v>
      </c>
      <c r="C782" t="s">
        <v>1445</v>
      </c>
      <c r="D782" t="s">
        <v>1573</v>
      </c>
      <c r="E782" t="s">
        <v>17</v>
      </c>
      <c r="F782" s="3">
        <v>45915</v>
      </c>
      <c r="G782" s="1">
        <f>YEAR(Patient_data[[#This Row],[Appointment_Date]])</f>
        <v>2025</v>
      </c>
      <c r="H782" s="2" t="str">
        <f>TEXT(Patient_data[[#This Row],[Appointment_Date]],"mmmm")</f>
        <v>September</v>
      </c>
      <c r="I782" s="3" t="str">
        <f>TEXT(Patient_data[[#This Row],[Appointment_Date]],"mmm-yyyy")</f>
        <v>Sep-2025</v>
      </c>
      <c r="J782" s="3">
        <v>45790</v>
      </c>
      <c r="K782" t="s">
        <v>1574</v>
      </c>
      <c r="L782" t="s">
        <v>30</v>
      </c>
      <c r="M782" s="4">
        <v>12.9</v>
      </c>
      <c r="N782" t="s">
        <v>24</v>
      </c>
      <c r="O782">
        <f>Patient_data[[#This Row],[Appointment_Date]]-Patient_data[[#This Row],[Booking_Date]]</f>
        <v>125</v>
      </c>
    </row>
    <row r="783" spans="1:15" x14ac:dyDescent="0.25">
      <c r="A783">
        <v>1060</v>
      </c>
      <c r="B783">
        <v>26</v>
      </c>
      <c r="C783" t="s">
        <v>1445</v>
      </c>
      <c r="D783" t="s">
        <v>1575</v>
      </c>
      <c r="E783" t="s">
        <v>17</v>
      </c>
      <c r="F783" s="3">
        <v>45947</v>
      </c>
      <c r="G783" s="1">
        <f>YEAR(Patient_data[[#This Row],[Appointment_Date]])</f>
        <v>2025</v>
      </c>
      <c r="H783" s="2" t="str">
        <f>TEXT(Patient_data[[#This Row],[Appointment_Date]],"mmmm")</f>
        <v>October</v>
      </c>
      <c r="I783" s="3" t="str">
        <f>TEXT(Patient_data[[#This Row],[Appointment_Date]],"mmm-yyyy")</f>
        <v>Oct-2025</v>
      </c>
      <c r="J783" s="3">
        <v>45638</v>
      </c>
      <c r="K783" t="s">
        <v>1576</v>
      </c>
      <c r="L783" t="s">
        <v>43</v>
      </c>
      <c r="M783" s="4">
        <v>3.45</v>
      </c>
      <c r="N783" t="s">
        <v>20</v>
      </c>
      <c r="O783">
        <f>Patient_data[[#This Row],[Appointment_Date]]-Patient_data[[#This Row],[Booking_Date]]</f>
        <v>309</v>
      </c>
    </row>
    <row r="784" spans="1:15" x14ac:dyDescent="0.25">
      <c r="A784">
        <v>1056</v>
      </c>
      <c r="B784">
        <v>26</v>
      </c>
      <c r="C784" t="s">
        <v>1445</v>
      </c>
      <c r="D784" t="s">
        <v>1577</v>
      </c>
      <c r="E784" t="s">
        <v>17</v>
      </c>
      <c r="F784" s="3">
        <v>45987</v>
      </c>
      <c r="G784" s="1">
        <f>YEAR(Patient_data[[#This Row],[Appointment_Date]])</f>
        <v>2025</v>
      </c>
      <c r="H784" s="2" t="str">
        <f>TEXT(Patient_data[[#This Row],[Appointment_Date]],"mmmm")</f>
        <v>November</v>
      </c>
      <c r="I784" s="3" t="str">
        <f>TEXT(Patient_data[[#This Row],[Appointment_Date]],"mmm-yyyy")</f>
        <v>Nov-2025</v>
      </c>
      <c r="J784" s="3">
        <v>45764</v>
      </c>
      <c r="K784" t="s">
        <v>1578</v>
      </c>
      <c r="L784" t="s">
        <v>19</v>
      </c>
      <c r="M784" s="4">
        <v>40.47</v>
      </c>
      <c r="N784" t="s">
        <v>20</v>
      </c>
      <c r="O784">
        <f>Patient_data[[#This Row],[Appointment_Date]]-Patient_data[[#This Row],[Booking_Date]]</f>
        <v>223</v>
      </c>
    </row>
    <row r="785" spans="1:15" x14ac:dyDescent="0.25">
      <c r="A785">
        <v>1052</v>
      </c>
      <c r="B785">
        <v>26</v>
      </c>
      <c r="C785" t="s">
        <v>1445</v>
      </c>
      <c r="D785" t="s">
        <v>1579</v>
      </c>
      <c r="E785" t="s">
        <v>17</v>
      </c>
      <c r="F785" s="3">
        <v>45961</v>
      </c>
      <c r="G785" s="1">
        <f>YEAR(Patient_data[[#This Row],[Appointment_Date]])</f>
        <v>2025</v>
      </c>
      <c r="H785" s="2" t="str">
        <f>TEXT(Patient_data[[#This Row],[Appointment_Date]],"mmmm")</f>
        <v>October</v>
      </c>
      <c r="I785" s="3" t="str">
        <f>TEXT(Patient_data[[#This Row],[Appointment_Date]],"mmm-yyyy")</f>
        <v>Oct-2025</v>
      </c>
      <c r="J785" s="3">
        <v>45738</v>
      </c>
      <c r="K785" t="s">
        <v>1580</v>
      </c>
      <c r="L785" t="s">
        <v>19</v>
      </c>
      <c r="M785" s="4">
        <v>61.18</v>
      </c>
      <c r="N785" t="s">
        <v>24</v>
      </c>
      <c r="O785">
        <f>Patient_data[[#This Row],[Appointment_Date]]-Patient_data[[#This Row],[Booking_Date]]</f>
        <v>223</v>
      </c>
    </row>
    <row r="786" spans="1:15" x14ac:dyDescent="0.25">
      <c r="A786">
        <v>1037</v>
      </c>
      <c r="B786">
        <v>26</v>
      </c>
      <c r="C786" t="s">
        <v>1445</v>
      </c>
      <c r="D786" t="s">
        <v>1581</v>
      </c>
      <c r="E786" t="s">
        <v>28</v>
      </c>
      <c r="F786" s="3">
        <v>46039</v>
      </c>
      <c r="G786" s="1">
        <f>YEAR(Patient_data[[#This Row],[Appointment_Date]])</f>
        <v>2026</v>
      </c>
      <c r="H786" s="2" t="str">
        <f>TEXT(Patient_data[[#This Row],[Appointment_Date]],"mmmm")</f>
        <v>January</v>
      </c>
      <c r="I786" s="3" t="str">
        <f>TEXT(Patient_data[[#This Row],[Appointment_Date]],"mmm-yyyy")</f>
        <v>Jan-2026</v>
      </c>
      <c r="J786" s="3">
        <v>45471</v>
      </c>
      <c r="K786" t="s">
        <v>1582</v>
      </c>
      <c r="L786" t="s">
        <v>23</v>
      </c>
      <c r="M786" s="4">
        <v>58.91</v>
      </c>
      <c r="N786" t="s">
        <v>20</v>
      </c>
      <c r="O786">
        <f>Patient_data[[#This Row],[Appointment_Date]]-Patient_data[[#This Row],[Booking_Date]]</f>
        <v>568</v>
      </c>
    </row>
    <row r="787" spans="1:15" x14ac:dyDescent="0.25">
      <c r="A787">
        <v>1025</v>
      </c>
      <c r="B787">
        <v>25</v>
      </c>
      <c r="C787" t="s">
        <v>1445</v>
      </c>
      <c r="D787" t="s">
        <v>1583</v>
      </c>
      <c r="E787" t="s">
        <v>17</v>
      </c>
      <c r="F787" s="3">
        <v>45938</v>
      </c>
      <c r="G787" s="1">
        <f>YEAR(Patient_data[[#This Row],[Appointment_Date]])</f>
        <v>2025</v>
      </c>
      <c r="H787" s="2" t="str">
        <f>TEXT(Patient_data[[#This Row],[Appointment_Date]],"mmmm")</f>
        <v>October</v>
      </c>
      <c r="I787" s="3" t="str">
        <f>TEXT(Patient_data[[#This Row],[Appointment_Date]],"mmm-yyyy")</f>
        <v>Oct-2025</v>
      </c>
      <c r="J787" s="3">
        <v>45740</v>
      </c>
      <c r="K787" t="s">
        <v>1584</v>
      </c>
      <c r="L787" t="s">
        <v>43</v>
      </c>
      <c r="M787" s="4">
        <v>48.33</v>
      </c>
      <c r="N787" t="s">
        <v>20</v>
      </c>
      <c r="O787">
        <f>Patient_data[[#This Row],[Appointment_Date]]-Patient_data[[#This Row],[Booking_Date]]</f>
        <v>198</v>
      </c>
    </row>
    <row r="788" spans="1:15" x14ac:dyDescent="0.25">
      <c r="A788">
        <v>1026</v>
      </c>
      <c r="B788">
        <v>25</v>
      </c>
      <c r="C788" t="s">
        <v>1445</v>
      </c>
      <c r="D788" t="s">
        <v>1585</v>
      </c>
      <c r="E788" t="s">
        <v>28</v>
      </c>
      <c r="F788" s="3">
        <v>45845</v>
      </c>
      <c r="G788" s="1">
        <f>YEAR(Patient_data[[#This Row],[Appointment_Date]])</f>
        <v>2025</v>
      </c>
      <c r="H788" s="2" t="str">
        <f>TEXT(Patient_data[[#This Row],[Appointment_Date]],"mmmm")</f>
        <v>July</v>
      </c>
      <c r="I788" s="3" t="str">
        <f>TEXT(Patient_data[[#This Row],[Appointment_Date]],"mmm-yyyy")</f>
        <v>Jul-2025</v>
      </c>
      <c r="J788" s="3">
        <v>45449</v>
      </c>
      <c r="K788" t="s">
        <v>1586</v>
      </c>
      <c r="L788" t="s">
        <v>23</v>
      </c>
      <c r="M788" s="4">
        <v>90.55</v>
      </c>
      <c r="N788" t="s">
        <v>24</v>
      </c>
      <c r="O788">
        <f>Patient_data[[#This Row],[Appointment_Date]]-Patient_data[[#This Row],[Booking_Date]]</f>
        <v>396</v>
      </c>
    </row>
    <row r="789" spans="1:15" x14ac:dyDescent="0.25">
      <c r="A789">
        <v>1013</v>
      </c>
      <c r="B789">
        <v>25</v>
      </c>
      <c r="C789" t="s">
        <v>1445</v>
      </c>
      <c r="D789" t="s">
        <v>1587</v>
      </c>
      <c r="E789" t="s">
        <v>17</v>
      </c>
      <c r="F789" s="3">
        <v>45962</v>
      </c>
      <c r="G789" s="1">
        <f>YEAR(Patient_data[[#This Row],[Appointment_Date]])</f>
        <v>2025</v>
      </c>
      <c r="H789" s="2" t="str">
        <f>TEXT(Patient_data[[#This Row],[Appointment_Date]],"mmmm")</f>
        <v>November</v>
      </c>
      <c r="I789" s="3" t="str">
        <f>TEXT(Patient_data[[#This Row],[Appointment_Date]],"mmm-yyyy")</f>
        <v>Nov-2025</v>
      </c>
      <c r="J789" s="3">
        <v>45502</v>
      </c>
      <c r="K789" t="s">
        <v>1588</v>
      </c>
      <c r="L789" t="s">
        <v>43</v>
      </c>
      <c r="M789" s="4">
        <v>93.12</v>
      </c>
      <c r="N789" t="s">
        <v>20</v>
      </c>
      <c r="O789">
        <f>Patient_data[[#This Row],[Appointment_Date]]-Patient_data[[#This Row],[Booking_Date]]</f>
        <v>460</v>
      </c>
    </row>
    <row r="790" spans="1:15" x14ac:dyDescent="0.25">
      <c r="A790">
        <v>1062</v>
      </c>
      <c r="B790">
        <v>25</v>
      </c>
      <c r="C790" t="s">
        <v>1445</v>
      </c>
      <c r="D790" t="s">
        <v>1589</v>
      </c>
      <c r="E790" t="s">
        <v>17</v>
      </c>
      <c r="F790" s="3">
        <v>45936</v>
      </c>
      <c r="G790" s="1">
        <f>YEAR(Patient_data[[#This Row],[Appointment_Date]])</f>
        <v>2025</v>
      </c>
      <c r="H790" s="2" t="str">
        <f>TEXT(Patient_data[[#This Row],[Appointment_Date]],"mmmm")</f>
        <v>October</v>
      </c>
      <c r="I790" s="3" t="str">
        <f>TEXT(Patient_data[[#This Row],[Appointment_Date]],"mmm-yyyy")</f>
        <v>Oct-2025</v>
      </c>
      <c r="J790" s="3">
        <v>45456</v>
      </c>
      <c r="K790" t="s">
        <v>1590</v>
      </c>
      <c r="L790" t="s">
        <v>30</v>
      </c>
      <c r="M790" s="4">
        <v>464.57</v>
      </c>
      <c r="N790" t="s">
        <v>20</v>
      </c>
      <c r="O790">
        <f>Patient_data[[#This Row],[Appointment_Date]]-Patient_data[[#This Row],[Booking_Date]]</f>
        <v>480</v>
      </c>
    </row>
    <row r="791" spans="1:15" x14ac:dyDescent="0.25">
      <c r="A791">
        <v>1090</v>
      </c>
      <c r="B791">
        <v>25</v>
      </c>
      <c r="C791" t="s">
        <v>1445</v>
      </c>
      <c r="D791" t="s">
        <v>1591</v>
      </c>
      <c r="E791" t="s">
        <v>28</v>
      </c>
      <c r="F791" s="3">
        <v>45974</v>
      </c>
      <c r="G791" s="1">
        <f>YEAR(Patient_data[[#This Row],[Appointment_Date]])</f>
        <v>2025</v>
      </c>
      <c r="H791" s="2" t="str">
        <f>TEXT(Patient_data[[#This Row],[Appointment_Date]],"mmmm")</f>
        <v>November</v>
      </c>
      <c r="I791" s="3" t="str">
        <f>TEXT(Patient_data[[#This Row],[Appointment_Date]],"mmm-yyyy")</f>
        <v>Nov-2025</v>
      </c>
      <c r="J791" s="3">
        <v>45639</v>
      </c>
      <c r="K791" t="s">
        <v>1592</v>
      </c>
      <c r="L791" t="s">
        <v>23</v>
      </c>
      <c r="M791" s="4">
        <v>5.07</v>
      </c>
      <c r="N791" t="s">
        <v>24</v>
      </c>
      <c r="O791">
        <f>Patient_data[[#This Row],[Appointment_Date]]-Patient_data[[#This Row],[Booking_Date]]</f>
        <v>335</v>
      </c>
    </row>
    <row r="792" spans="1:15" x14ac:dyDescent="0.25">
      <c r="A792">
        <v>1030</v>
      </c>
      <c r="B792">
        <v>25</v>
      </c>
      <c r="C792" t="s">
        <v>1445</v>
      </c>
      <c r="D792" t="s">
        <v>1593</v>
      </c>
      <c r="E792" t="s">
        <v>28</v>
      </c>
      <c r="F792" s="3">
        <v>45771</v>
      </c>
      <c r="G792" s="1">
        <f>YEAR(Patient_data[[#This Row],[Appointment_Date]])</f>
        <v>2025</v>
      </c>
      <c r="H792" s="2" t="str">
        <f>TEXT(Patient_data[[#This Row],[Appointment_Date]],"mmmm")</f>
        <v>April</v>
      </c>
      <c r="I792" s="3" t="str">
        <f>TEXT(Patient_data[[#This Row],[Appointment_Date]],"mmm-yyyy")</f>
        <v>Apr-2025</v>
      </c>
      <c r="J792" s="3">
        <v>45396</v>
      </c>
      <c r="K792" t="s">
        <v>1594</v>
      </c>
      <c r="L792" t="s">
        <v>43</v>
      </c>
      <c r="M792" s="4">
        <v>17.21</v>
      </c>
      <c r="N792" t="s">
        <v>20</v>
      </c>
      <c r="O792">
        <f>Patient_data[[#This Row],[Appointment_Date]]-Patient_data[[#This Row],[Booking_Date]]</f>
        <v>375</v>
      </c>
    </row>
    <row r="793" spans="1:15" x14ac:dyDescent="0.25">
      <c r="A793">
        <v>1007</v>
      </c>
      <c r="B793">
        <v>25</v>
      </c>
      <c r="C793" t="s">
        <v>1445</v>
      </c>
      <c r="D793" t="s">
        <v>1595</v>
      </c>
      <c r="E793" t="s">
        <v>28</v>
      </c>
      <c r="F793" s="3">
        <v>45996</v>
      </c>
      <c r="G793" s="1">
        <f>YEAR(Patient_data[[#This Row],[Appointment_Date]])</f>
        <v>2025</v>
      </c>
      <c r="H793" s="2" t="str">
        <f>TEXT(Patient_data[[#This Row],[Appointment_Date]],"mmmm")</f>
        <v>December</v>
      </c>
      <c r="I793" s="3" t="str">
        <f>TEXT(Patient_data[[#This Row],[Appointment_Date]],"mmm-yyyy")</f>
        <v>Dec-2025</v>
      </c>
      <c r="J793" s="3">
        <v>45563</v>
      </c>
      <c r="K793" t="s">
        <v>1596</v>
      </c>
      <c r="L793" t="s">
        <v>19</v>
      </c>
      <c r="M793" s="4">
        <v>69.53</v>
      </c>
      <c r="N793" t="s">
        <v>24</v>
      </c>
      <c r="O793">
        <f>Patient_data[[#This Row],[Appointment_Date]]-Patient_data[[#This Row],[Booking_Date]]</f>
        <v>433</v>
      </c>
    </row>
    <row r="794" spans="1:15" x14ac:dyDescent="0.25">
      <c r="A794">
        <v>1071</v>
      </c>
      <c r="B794">
        <v>25</v>
      </c>
      <c r="C794" t="s">
        <v>1445</v>
      </c>
      <c r="D794" t="s">
        <v>1597</v>
      </c>
      <c r="E794" t="s">
        <v>28</v>
      </c>
      <c r="F794" s="3">
        <v>46077</v>
      </c>
      <c r="G794" s="1">
        <f>YEAR(Patient_data[[#This Row],[Appointment_Date]])</f>
        <v>2026</v>
      </c>
      <c r="H794" s="2" t="str">
        <f>TEXT(Patient_data[[#This Row],[Appointment_Date]],"mmmm")</f>
        <v>February</v>
      </c>
      <c r="I794" s="3" t="str">
        <f>TEXT(Patient_data[[#This Row],[Appointment_Date]],"mmm-yyyy")</f>
        <v>Feb-2026</v>
      </c>
      <c r="J794" s="3">
        <v>45982</v>
      </c>
      <c r="K794" t="s">
        <v>1598</v>
      </c>
      <c r="L794" t="s">
        <v>23</v>
      </c>
      <c r="M794" s="4">
        <v>443.12</v>
      </c>
      <c r="N794" t="s">
        <v>20</v>
      </c>
      <c r="O794">
        <f>Patient_data[[#This Row],[Appointment_Date]]-Patient_data[[#This Row],[Booking_Date]]</f>
        <v>95</v>
      </c>
    </row>
    <row r="795" spans="1:15" x14ac:dyDescent="0.25">
      <c r="A795">
        <v>1044</v>
      </c>
      <c r="B795">
        <v>25</v>
      </c>
      <c r="C795" t="s">
        <v>1445</v>
      </c>
      <c r="D795" t="s">
        <v>1599</v>
      </c>
      <c r="E795" t="s">
        <v>28</v>
      </c>
      <c r="F795" s="3">
        <v>46089</v>
      </c>
      <c r="G795" s="1">
        <f>YEAR(Patient_data[[#This Row],[Appointment_Date]])</f>
        <v>2026</v>
      </c>
      <c r="H795" s="2" t="str">
        <f>TEXT(Patient_data[[#This Row],[Appointment_Date]],"mmmm")</f>
        <v>March</v>
      </c>
      <c r="I795" s="3" t="str">
        <f>TEXT(Patient_data[[#This Row],[Appointment_Date]],"mmm-yyyy")</f>
        <v>Mar-2026</v>
      </c>
      <c r="J795" s="3">
        <v>45972</v>
      </c>
      <c r="K795" t="s">
        <v>1600</v>
      </c>
      <c r="L795" t="s">
        <v>23</v>
      </c>
      <c r="M795" s="4">
        <v>16.64</v>
      </c>
      <c r="N795" t="s">
        <v>24</v>
      </c>
      <c r="O795">
        <f>Patient_data[[#This Row],[Appointment_Date]]-Patient_data[[#This Row],[Booking_Date]]</f>
        <v>117</v>
      </c>
    </row>
    <row r="796" spans="1:15" x14ac:dyDescent="0.25">
      <c r="A796">
        <v>1021</v>
      </c>
      <c r="B796">
        <v>25</v>
      </c>
      <c r="C796" t="s">
        <v>1445</v>
      </c>
      <c r="D796" t="s">
        <v>1601</v>
      </c>
      <c r="E796" t="s">
        <v>28</v>
      </c>
      <c r="F796" s="3">
        <v>45931</v>
      </c>
      <c r="G796" s="1">
        <f>YEAR(Patient_data[[#This Row],[Appointment_Date]])</f>
        <v>2025</v>
      </c>
      <c r="H796" s="2" t="str">
        <f>TEXT(Patient_data[[#This Row],[Appointment_Date]],"mmmm")</f>
        <v>October</v>
      </c>
      <c r="I796" s="3" t="str">
        <f>TEXT(Patient_data[[#This Row],[Appointment_Date]],"mmm-yyyy")</f>
        <v>Oct-2025</v>
      </c>
      <c r="J796" s="3">
        <v>45536</v>
      </c>
      <c r="K796" t="s">
        <v>1602</v>
      </c>
      <c r="L796" t="s">
        <v>30</v>
      </c>
      <c r="M796" s="4">
        <v>84.11</v>
      </c>
      <c r="N796" t="s">
        <v>24</v>
      </c>
      <c r="O796">
        <f>Patient_data[[#This Row],[Appointment_Date]]-Patient_data[[#This Row],[Booking_Date]]</f>
        <v>395</v>
      </c>
    </row>
    <row r="797" spans="1:15" x14ac:dyDescent="0.25">
      <c r="A797">
        <v>1068</v>
      </c>
      <c r="B797">
        <v>25</v>
      </c>
      <c r="C797" t="s">
        <v>1445</v>
      </c>
      <c r="D797" t="s">
        <v>1603</v>
      </c>
      <c r="E797" t="s">
        <v>28</v>
      </c>
      <c r="F797" s="3">
        <v>46064</v>
      </c>
      <c r="G797" s="1">
        <f>YEAR(Patient_data[[#This Row],[Appointment_Date]])</f>
        <v>2026</v>
      </c>
      <c r="H797" s="2" t="str">
        <f>TEXT(Patient_data[[#This Row],[Appointment_Date]],"mmmm")</f>
        <v>February</v>
      </c>
      <c r="I797" s="3" t="str">
        <f>TEXT(Patient_data[[#This Row],[Appointment_Date]],"mmm-yyyy")</f>
        <v>Feb-2026</v>
      </c>
      <c r="J797" s="3">
        <v>45828</v>
      </c>
      <c r="K797" t="s">
        <v>1604</v>
      </c>
      <c r="L797" t="s">
        <v>19</v>
      </c>
      <c r="M797" s="4">
        <v>29.25</v>
      </c>
      <c r="N797" t="s">
        <v>20</v>
      </c>
      <c r="O797">
        <f>Patient_data[[#This Row],[Appointment_Date]]-Patient_data[[#This Row],[Booking_Date]]</f>
        <v>236</v>
      </c>
    </row>
    <row r="798" spans="1:15" x14ac:dyDescent="0.25">
      <c r="A798">
        <v>1085</v>
      </c>
      <c r="B798">
        <v>25</v>
      </c>
      <c r="C798" t="s">
        <v>1445</v>
      </c>
      <c r="D798" t="s">
        <v>1605</v>
      </c>
      <c r="E798" t="s">
        <v>28</v>
      </c>
      <c r="F798" s="3">
        <v>45943</v>
      </c>
      <c r="G798" s="1">
        <f>YEAR(Patient_data[[#This Row],[Appointment_Date]])</f>
        <v>2025</v>
      </c>
      <c r="H798" s="2" t="str">
        <f>TEXT(Patient_data[[#This Row],[Appointment_Date]],"mmmm")</f>
        <v>October</v>
      </c>
      <c r="I798" s="3" t="str">
        <f>TEXT(Patient_data[[#This Row],[Appointment_Date]],"mmm-yyyy")</f>
        <v>Oct-2025</v>
      </c>
      <c r="J798" s="3">
        <v>45729</v>
      </c>
      <c r="K798" t="s">
        <v>1606</v>
      </c>
      <c r="L798" t="s">
        <v>23</v>
      </c>
      <c r="M798" s="4">
        <v>57.53</v>
      </c>
      <c r="N798" t="s">
        <v>24</v>
      </c>
      <c r="O798">
        <f>Patient_data[[#This Row],[Appointment_Date]]-Patient_data[[#This Row],[Booking_Date]]</f>
        <v>214</v>
      </c>
    </row>
    <row r="799" spans="1:15" x14ac:dyDescent="0.25">
      <c r="A799">
        <v>1099</v>
      </c>
      <c r="B799">
        <v>25</v>
      </c>
      <c r="C799" t="s">
        <v>1445</v>
      </c>
      <c r="D799" t="s">
        <v>1607</v>
      </c>
      <c r="E799" t="s">
        <v>28</v>
      </c>
      <c r="F799" s="3">
        <v>45768</v>
      </c>
      <c r="G799" s="1">
        <f>YEAR(Patient_data[[#This Row],[Appointment_Date]])</f>
        <v>2025</v>
      </c>
      <c r="H799" s="2" t="str">
        <f>TEXT(Patient_data[[#This Row],[Appointment_Date]],"mmmm")</f>
        <v>April</v>
      </c>
      <c r="I799" s="3" t="str">
        <f>TEXT(Patient_data[[#This Row],[Appointment_Date]],"mmm-yyyy")</f>
        <v>Apr-2025</v>
      </c>
      <c r="J799" s="3">
        <v>45555</v>
      </c>
      <c r="K799" t="s">
        <v>1608</v>
      </c>
      <c r="L799" t="s">
        <v>30</v>
      </c>
      <c r="M799" s="4">
        <v>66.209999999999994</v>
      </c>
      <c r="N799" t="s">
        <v>20</v>
      </c>
      <c r="O799">
        <f>Patient_data[[#This Row],[Appointment_Date]]-Patient_data[[#This Row],[Booking_Date]]</f>
        <v>213</v>
      </c>
    </row>
    <row r="800" spans="1:15" x14ac:dyDescent="0.25">
      <c r="A800">
        <v>1075</v>
      </c>
      <c r="B800">
        <v>25</v>
      </c>
      <c r="C800" t="s">
        <v>1445</v>
      </c>
      <c r="D800" t="s">
        <v>1609</v>
      </c>
      <c r="E800" t="s">
        <v>28</v>
      </c>
      <c r="F800" s="3">
        <v>45903</v>
      </c>
      <c r="G800" s="1">
        <f>YEAR(Patient_data[[#This Row],[Appointment_Date]])</f>
        <v>2025</v>
      </c>
      <c r="H800" s="2" t="str">
        <f>TEXT(Patient_data[[#This Row],[Appointment_Date]],"mmmm")</f>
        <v>September</v>
      </c>
      <c r="I800" s="3" t="str">
        <f>TEXT(Patient_data[[#This Row],[Appointment_Date]],"mmm-yyyy")</f>
        <v>Sep-2025</v>
      </c>
      <c r="J800" s="3">
        <v>45592</v>
      </c>
      <c r="K800" t="s">
        <v>1610</v>
      </c>
      <c r="L800" t="s">
        <v>43</v>
      </c>
      <c r="M800" s="4">
        <v>53.36</v>
      </c>
      <c r="N800" t="s">
        <v>24</v>
      </c>
      <c r="O800">
        <f>Patient_data[[#This Row],[Appointment_Date]]-Patient_data[[#This Row],[Booking_Date]]</f>
        <v>311</v>
      </c>
    </row>
    <row r="801" spans="1:15" x14ac:dyDescent="0.25">
      <c r="A801">
        <v>1036</v>
      </c>
      <c r="B801">
        <v>25</v>
      </c>
      <c r="C801" t="s">
        <v>1445</v>
      </c>
      <c r="D801" t="s">
        <v>1611</v>
      </c>
      <c r="E801" t="s">
        <v>17</v>
      </c>
      <c r="F801" s="3">
        <v>45822</v>
      </c>
      <c r="G801" s="1">
        <f>YEAR(Patient_data[[#This Row],[Appointment_Date]])</f>
        <v>2025</v>
      </c>
      <c r="H801" s="2" t="str">
        <f>TEXT(Patient_data[[#This Row],[Appointment_Date]],"mmmm")</f>
        <v>June</v>
      </c>
      <c r="I801" s="3" t="str">
        <f>TEXT(Patient_data[[#This Row],[Appointment_Date]],"mmm-yyyy")</f>
        <v>Jun-2025</v>
      </c>
      <c r="J801" s="3">
        <v>45409</v>
      </c>
      <c r="K801" t="s">
        <v>1612</v>
      </c>
      <c r="L801" t="s">
        <v>19</v>
      </c>
      <c r="M801" s="4">
        <v>38.049999999999997</v>
      </c>
      <c r="N801" t="s">
        <v>24</v>
      </c>
      <c r="O801">
        <f>Patient_data[[#This Row],[Appointment_Date]]-Patient_data[[#This Row],[Booking_Date]]</f>
        <v>413</v>
      </c>
    </row>
    <row r="802" spans="1:15" x14ac:dyDescent="0.25">
      <c r="A802">
        <v>1091</v>
      </c>
      <c r="B802">
        <v>25</v>
      </c>
      <c r="C802" t="s">
        <v>1445</v>
      </c>
      <c r="D802" t="s">
        <v>1613</v>
      </c>
      <c r="E802" t="s">
        <v>17</v>
      </c>
      <c r="F802" s="3">
        <v>45980</v>
      </c>
      <c r="G802" s="1">
        <f>YEAR(Patient_data[[#This Row],[Appointment_Date]])</f>
        <v>2025</v>
      </c>
      <c r="H802" s="2" t="str">
        <f>TEXT(Patient_data[[#This Row],[Appointment_Date]],"mmmm")</f>
        <v>November</v>
      </c>
      <c r="I802" s="3" t="str">
        <f>TEXT(Patient_data[[#This Row],[Appointment_Date]],"mmm-yyyy")</f>
        <v>Nov-2025</v>
      </c>
      <c r="J802" s="3">
        <v>45976</v>
      </c>
      <c r="K802" t="s">
        <v>1614</v>
      </c>
      <c r="L802" t="s">
        <v>30</v>
      </c>
      <c r="M802" s="4">
        <v>170.53</v>
      </c>
      <c r="N802" t="s">
        <v>20</v>
      </c>
      <c r="O802">
        <f>Patient_data[[#This Row],[Appointment_Date]]-Patient_data[[#This Row],[Booking_Date]]</f>
        <v>4</v>
      </c>
    </row>
    <row r="803" spans="1:15" x14ac:dyDescent="0.25">
      <c r="A803">
        <v>1001</v>
      </c>
      <c r="B803">
        <v>25</v>
      </c>
      <c r="C803" t="s">
        <v>1445</v>
      </c>
      <c r="D803" t="s">
        <v>1615</v>
      </c>
      <c r="E803" t="s">
        <v>28</v>
      </c>
      <c r="F803" s="3">
        <v>46062</v>
      </c>
      <c r="G803" s="1">
        <f>YEAR(Patient_data[[#This Row],[Appointment_Date]])</f>
        <v>2026</v>
      </c>
      <c r="H803" s="2" t="str">
        <f>TEXT(Patient_data[[#This Row],[Appointment_Date]],"mmmm")</f>
        <v>February</v>
      </c>
      <c r="I803" s="3" t="str">
        <f>TEXT(Patient_data[[#This Row],[Appointment_Date]],"mmm-yyyy")</f>
        <v>Feb-2026</v>
      </c>
      <c r="J803" s="3">
        <v>45676</v>
      </c>
      <c r="K803" t="s">
        <v>1616</v>
      </c>
      <c r="L803" t="s">
        <v>43</v>
      </c>
      <c r="M803" s="4">
        <v>17.510000000000002</v>
      </c>
      <c r="N803" t="s">
        <v>24</v>
      </c>
      <c r="O803">
        <f>Patient_data[[#This Row],[Appointment_Date]]-Patient_data[[#This Row],[Booking_Date]]</f>
        <v>386</v>
      </c>
    </row>
    <row r="804" spans="1:15" x14ac:dyDescent="0.25">
      <c r="A804">
        <v>1078</v>
      </c>
      <c r="B804">
        <v>25</v>
      </c>
      <c r="C804" t="s">
        <v>1445</v>
      </c>
      <c r="D804" t="s">
        <v>1617</v>
      </c>
      <c r="E804" t="s">
        <v>28</v>
      </c>
      <c r="F804" s="3">
        <v>45977</v>
      </c>
      <c r="G804" s="1">
        <f>YEAR(Patient_data[[#This Row],[Appointment_Date]])</f>
        <v>2025</v>
      </c>
      <c r="H804" s="2" t="str">
        <f>TEXT(Patient_data[[#This Row],[Appointment_Date]],"mmmm")</f>
        <v>November</v>
      </c>
      <c r="I804" s="3" t="str">
        <f>TEXT(Patient_data[[#This Row],[Appointment_Date]],"mmm-yyyy")</f>
        <v>Nov-2025</v>
      </c>
      <c r="J804" s="3">
        <v>45557</v>
      </c>
      <c r="K804" t="s">
        <v>1618</v>
      </c>
      <c r="L804" t="s">
        <v>30</v>
      </c>
      <c r="M804" s="4">
        <v>68.56</v>
      </c>
      <c r="N804" t="s">
        <v>20</v>
      </c>
      <c r="O804">
        <f>Patient_data[[#This Row],[Appointment_Date]]-Patient_data[[#This Row],[Booking_Date]]</f>
        <v>420</v>
      </c>
    </row>
    <row r="805" spans="1:15" x14ac:dyDescent="0.25">
      <c r="A805">
        <v>1058</v>
      </c>
      <c r="B805">
        <v>24</v>
      </c>
      <c r="C805" t="s">
        <v>1445</v>
      </c>
      <c r="D805" t="s">
        <v>1619</v>
      </c>
      <c r="E805" t="s">
        <v>28</v>
      </c>
      <c r="F805" s="3">
        <v>46069</v>
      </c>
      <c r="G805" s="1">
        <f>YEAR(Patient_data[[#This Row],[Appointment_Date]])</f>
        <v>2026</v>
      </c>
      <c r="H805" s="2" t="str">
        <f>TEXT(Patient_data[[#This Row],[Appointment_Date]],"mmmm")</f>
        <v>February</v>
      </c>
      <c r="I805" s="3" t="str">
        <f>TEXT(Patient_data[[#This Row],[Appointment_Date]],"mmm-yyyy")</f>
        <v>Feb-2026</v>
      </c>
      <c r="J805" s="3">
        <v>45895</v>
      </c>
      <c r="K805" t="s">
        <v>1620</v>
      </c>
      <c r="L805" t="s">
        <v>23</v>
      </c>
      <c r="M805" s="4">
        <v>420.58</v>
      </c>
      <c r="N805" t="s">
        <v>20</v>
      </c>
      <c r="O805">
        <f>Patient_data[[#This Row],[Appointment_Date]]-Patient_data[[#This Row],[Booking_Date]]</f>
        <v>174</v>
      </c>
    </row>
    <row r="806" spans="1:15" x14ac:dyDescent="0.25">
      <c r="A806">
        <v>1028</v>
      </c>
      <c r="B806">
        <v>24</v>
      </c>
      <c r="C806" t="s">
        <v>1445</v>
      </c>
      <c r="D806" t="s">
        <v>1197</v>
      </c>
      <c r="E806" t="s">
        <v>17</v>
      </c>
      <c r="F806" s="3">
        <v>46010</v>
      </c>
      <c r="G806" s="1">
        <f>YEAR(Patient_data[[#This Row],[Appointment_Date]])</f>
        <v>2025</v>
      </c>
      <c r="H806" s="2" t="str">
        <f>TEXT(Patient_data[[#This Row],[Appointment_Date]],"mmmm")</f>
        <v>December</v>
      </c>
      <c r="I806" s="3" t="str">
        <f>TEXT(Patient_data[[#This Row],[Appointment_Date]],"mmm-yyyy")</f>
        <v>Dec-2025</v>
      </c>
      <c r="J806" s="3">
        <v>45839</v>
      </c>
      <c r="K806" t="s">
        <v>1621</v>
      </c>
      <c r="L806" t="s">
        <v>23</v>
      </c>
      <c r="M806" s="4">
        <v>92.98</v>
      </c>
      <c r="N806" t="s">
        <v>24</v>
      </c>
      <c r="O806">
        <f>Patient_data[[#This Row],[Appointment_Date]]-Patient_data[[#This Row],[Booking_Date]]</f>
        <v>171</v>
      </c>
    </row>
    <row r="807" spans="1:15" x14ac:dyDescent="0.25">
      <c r="A807">
        <v>1045</v>
      </c>
      <c r="B807">
        <v>24</v>
      </c>
      <c r="C807" t="s">
        <v>1445</v>
      </c>
      <c r="D807" t="s">
        <v>1622</v>
      </c>
      <c r="E807" t="s">
        <v>28</v>
      </c>
      <c r="F807" s="3">
        <v>45807</v>
      </c>
      <c r="G807" s="1">
        <f>YEAR(Patient_data[[#This Row],[Appointment_Date]])</f>
        <v>2025</v>
      </c>
      <c r="H807" s="2" t="str">
        <f>TEXT(Patient_data[[#This Row],[Appointment_Date]],"mmmm")</f>
        <v>May</v>
      </c>
      <c r="I807" s="3" t="str">
        <f>TEXT(Patient_data[[#This Row],[Appointment_Date]],"mmm-yyyy")</f>
        <v>May-2025</v>
      </c>
      <c r="J807" s="3">
        <v>45736</v>
      </c>
      <c r="K807" t="s">
        <v>1623</v>
      </c>
      <c r="L807" t="s">
        <v>19</v>
      </c>
      <c r="M807" s="4">
        <v>94.9</v>
      </c>
      <c r="N807" t="s">
        <v>24</v>
      </c>
      <c r="O807">
        <f>Patient_data[[#This Row],[Appointment_Date]]-Patient_data[[#This Row],[Booking_Date]]</f>
        <v>71</v>
      </c>
    </row>
    <row r="808" spans="1:15" x14ac:dyDescent="0.25">
      <c r="A808">
        <v>1076</v>
      </c>
      <c r="B808">
        <v>24</v>
      </c>
      <c r="C808" t="s">
        <v>1445</v>
      </c>
      <c r="D808" t="s">
        <v>1624</v>
      </c>
      <c r="E808" t="s">
        <v>28</v>
      </c>
      <c r="F808" s="3">
        <v>45936</v>
      </c>
      <c r="G808" s="1">
        <f>YEAR(Patient_data[[#This Row],[Appointment_Date]])</f>
        <v>2025</v>
      </c>
      <c r="H808" s="2" t="str">
        <f>TEXT(Patient_data[[#This Row],[Appointment_Date]],"mmmm")</f>
        <v>October</v>
      </c>
      <c r="I808" s="3" t="str">
        <f>TEXT(Patient_data[[#This Row],[Appointment_Date]],"mmm-yyyy")</f>
        <v>Oct-2025</v>
      </c>
      <c r="J808" s="3">
        <v>45456</v>
      </c>
      <c r="K808" t="s">
        <v>1625</v>
      </c>
      <c r="L808" t="s">
        <v>43</v>
      </c>
      <c r="M808" s="4">
        <v>55.45</v>
      </c>
      <c r="N808" t="s">
        <v>24</v>
      </c>
      <c r="O808">
        <f>Patient_data[[#This Row],[Appointment_Date]]-Patient_data[[#This Row],[Booking_Date]]</f>
        <v>480</v>
      </c>
    </row>
    <row r="809" spans="1:15" x14ac:dyDescent="0.25">
      <c r="A809">
        <v>1079</v>
      </c>
      <c r="B809">
        <v>24</v>
      </c>
      <c r="C809" t="s">
        <v>1445</v>
      </c>
      <c r="D809" t="s">
        <v>1626</v>
      </c>
      <c r="E809" t="s">
        <v>17</v>
      </c>
      <c r="F809" s="3">
        <v>46038</v>
      </c>
      <c r="G809" s="1">
        <f>YEAR(Patient_data[[#This Row],[Appointment_Date]])</f>
        <v>2026</v>
      </c>
      <c r="H809" s="2" t="str">
        <f>TEXT(Patient_data[[#This Row],[Appointment_Date]],"mmmm")</f>
        <v>January</v>
      </c>
      <c r="I809" s="3" t="str">
        <f>TEXT(Patient_data[[#This Row],[Appointment_Date]],"mmm-yyyy")</f>
        <v>Jan-2026</v>
      </c>
      <c r="J809" s="3">
        <v>45402</v>
      </c>
      <c r="K809" t="s">
        <v>1627</v>
      </c>
      <c r="L809" t="s">
        <v>30</v>
      </c>
      <c r="M809" s="4">
        <v>360.39</v>
      </c>
      <c r="N809" t="s">
        <v>20</v>
      </c>
      <c r="O809">
        <f>Patient_data[[#This Row],[Appointment_Date]]-Patient_data[[#This Row],[Booking_Date]]</f>
        <v>636</v>
      </c>
    </row>
    <row r="810" spans="1:15" x14ac:dyDescent="0.25">
      <c r="A810">
        <v>1022</v>
      </c>
      <c r="B810">
        <v>24</v>
      </c>
      <c r="C810" t="s">
        <v>1445</v>
      </c>
      <c r="D810" t="s">
        <v>1628</v>
      </c>
      <c r="E810" t="s">
        <v>28</v>
      </c>
      <c r="F810" s="3">
        <v>45888</v>
      </c>
      <c r="G810" s="1">
        <f>YEAR(Patient_data[[#This Row],[Appointment_Date]])</f>
        <v>2025</v>
      </c>
      <c r="H810" s="2" t="str">
        <f>TEXT(Patient_data[[#This Row],[Appointment_Date]],"mmmm")</f>
        <v>August</v>
      </c>
      <c r="I810" s="3" t="str">
        <f>TEXT(Patient_data[[#This Row],[Appointment_Date]],"mmm-yyyy")</f>
        <v>Aug-2025</v>
      </c>
      <c r="J810" s="3">
        <v>45787</v>
      </c>
      <c r="K810" t="s">
        <v>1629</v>
      </c>
      <c r="L810" t="s">
        <v>19</v>
      </c>
      <c r="M810" s="4">
        <v>25.91</v>
      </c>
      <c r="N810" t="s">
        <v>24</v>
      </c>
      <c r="O810">
        <f>Patient_data[[#This Row],[Appointment_Date]]-Patient_data[[#This Row],[Booking_Date]]</f>
        <v>101</v>
      </c>
    </row>
    <row r="811" spans="1:15" x14ac:dyDescent="0.25">
      <c r="A811">
        <v>1089</v>
      </c>
      <c r="B811">
        <v>24</v>
      </c>
      <c r="C811" t="s">
        <v>1445</v>
      </c>
      <c r="D811" t="s">
        <v>1630</v>
      </c>
      <c r="E811" t="s">
        <v>17</v>
      </c>
      <c r="F811" s="3">
        <v>45916</v>
      </c>
      <c r="G811" s="1">
        <f>YEAR(Patient_data[[#This Row],[Appointment_Date]])</f>
        <v>2025</v>
      </c>
      <c r="H811" s="2" t="str">
        <f>TEXT(Patient_data[[#This Row],[Appointment_Date]],"mmmm")</f>
        <v>September</v>
      </c>
      <c r="I811" s="3" t="str">
        <f>TEXT(Patient_data[[#This Row],[Appointment_Date]],"mmm-yyyy")</f>
        <v>Sep-2025</v>
      </c>
      <c r="J811" s="3">
        <v>45673</v>
      </c>
      <c r="K811" t="s">
        <v>1631</v>
      </c>
      <c r="L811" t="s">
        <v>43</v>
      </c>
      <c r="M811" s="4">
        <v>3.59</v>
      </c>
      <c r="N811" t="s">
        <v>24</v>
      </c>
      <c r="O811">
        <f>Patient_data[[#This Row],[Appointment_Date]]-Patient_data[[#This Row],[Booking_Date]]</f>
        <v>243</v>
      </c>
    </row>
    <row r="812" spans="1:15" x14ac:dyDescent="0.25">
      <c r="A812">
        <v>1046</v>
      </c>
      <c r="B812">
        <v>24</v>
      </c>
      <c r="C812" t="s">
        <v>1445</v>
      </c>
      <c r="D812" t="s">
        <v>1632</v>
      </c>
      <c r="E812" t="s">
        <v>28</v>
      </c>
      <c r="F812" s="3">
        <v>45857</v>
      </c>
      <c r="G812" s="1">
        <f>YEAR(Patient_data[[#This Row],[Appointment_Date]])</f>
        <v>2025</v>
      </c>
      <c r="H812" s="2" t="str">
        <f>TEXT(Patient_data[[#This Row],[Appointment_Date]],"mmmm")</f>
        <v>July</v>
      </c>
      <c r="I812" s="3" t="str">
        <f>TEXT(Patient_data[[#This Row],[Appointment_Date]],"mmm-yyyy")</f>
        <v>Jul-2025</v>
      </c>
      <c r="J812" s="3">
        <v>45533</v>
      </c>
      <c r="K812" t="s">
        <v>1633</v>
      </c>
      <c r="L812" t="s">
        <v>43</v>
      </c>
      <c r="M812" s="4">
        <v>72.5</v>
      </c>
      <c r="N812" t="s">
        <v>20</v>
      </c>
      <c r="O812">
        <f>Patient_data[[#This Row],[Appointment_Date]]-Patient_data[[#This Row],[Booking_Date]]</f>
        <v>324</v>
      </c>
    </row>
    <row r="813" spans="1:15" x14ac:dyDescent="0.25">
      <c r="A813">
        <v>1029</v>
      </c>
      <c r="B813">
        <v>24</v>
      </c>
      <c r="C813" t="s">
        <v>1445</v>
      </c>
      <c r="D813" t="s">
        <v>1634</v>
      </c>
      <c r="E813" t="s">
        <v>17</v>
      </c>
      <c r="F813" s="3">
        <v>45865</v>
      </c>
      <c r="G813" s="1">
        <f>YEAR(Patient_data[[#This Row],[Appointment_Date]])</f>
        <v>2025</v>
      </c>
      <c r="H813" s="2" t="str">
        <f>TEXT(Patient_data[[#This Row],[Appointment_Date]],"mmmm")</f>
        <v>July</v>
      </c>
      <c r="I813" s="3" t="str">
        <f>TEXT(Patient_data[[#This Row],[Appointment_Date]],"mmm-yyyy")</f>
        <v>Jul-2025</v>
      </c>
      <c r="J813" s="3">
        <v>45857</v>
      </c>
      <c r="K813" t="s">
        <v>1635</v>
      </c>
      <c r="L813" t="s">
        <v>43</v>
      </c>
      <c r="M813" s="4">
        <v>5.25</v>
      </c>
      <c r="N813" t="s">
        <v>24</v>
      </c>
      <c r="O813">
        <f>Patient_data[[#This Row],[Appointment_Date]]-Patient_data[[#This Row],[Booking_Date]]</f>
        <v>8</v>
      </c>
    </row>
    <row r="814" spans="1:15" x14ac:dyDescent="0.25">
      <c r="A814">
        <v>1070</v>
      </c>
      <c r="B814">
        <v>24</v>
      </c>
      <c r="C814" t="s">
        <v>1445</v>
      </c>
      <c r="D814" t="s">
        <v>1636</v>
      </c>
      <c r="E814" t="s">
        <v>17</v>
      </c>
      <c r="F814" s="3">
        <v>46052</v>
      </c>
      <c r="G814" s="1">
        <f>YEAR(Patient_data[[#This Row],[Appointment_Date]])</f>
        <v>2026</v>
      </c>
      <c r="H814" s="2" t="str">
        <f>TEXT(Patient_data[[#This Row],[Appointment_Date]],"mmmm")</f>
        <v>January</v>
      </c>
      <c r="I814" s="3" t="str">
        <f>TEXT(Patient_data[[#This Row],[Appointment_Date]],"mmm-yyyy")</f>
        <v>Jan-2026</v>
      </c>
      <c r="J814" s="3">
        <v>45642</v>
      </c>
      <c r="K814" t="s">
        <v>1637</v>
      </c>
      <c r="L814" t="s">
        <v>23</v>
      </c>
      <c r="M814" s="4">
        <v>39.56</v>
      </c>
      <c r="N814" t="s">
        <v>20</v>
      </c>
      <c r="O814">
        <f>Patient_data[[#This Row],[Appointment_Date]]-Patient_data[[#This Row],[Booking_Date]]</f>
        <v>410</v>
      </c>
    </row>
    <row r="815" spans="1:15" x14ac:dyDescent="0.25">
      <c r="A815">
        <v>1056</v>
      </c>
      <c r="B815">
        <v>24</v>
      </c>
      <c r="C815" t="s">
        <v>1445</v>
      </c>
      <c r="D815" t="s">
        <v>1638</v>
      </c>
      <c r="E815" t="s">
        <v>17</v>
      </c>
      <c r="F815" s="3">
        <v>45958</v>
      </c>
      <c r="G815" s="1">
        <f>YEAR(Patient_data[[#This Row],[Appointment_Date]])</f>
        <v>2025</v>
      </c>
      <c r="H815" s="2" t="str">
        <f>TEXT(Patient_data[[#This Row],[Appointment_Date]],"mmmm")</f>
        <v>October</v>
      </c>
      <c r="I815" s="3" t="str">
        <f>TEXT(Patient_data[[#This Row],[Appointment_Date]],"mmm-yyyy")</f>
        <v>Oct-2025</v>
      </c>
      <c r="J815" s="3">
        <v>45672</v>
      </c>
      <c r="K815" t="s">
        <v>569</v>
      </c>
      <c r="L815" t="s">
        <v>30</v>
      </c>
      <c r="M815" s="4">
        <v>7.67</v>
      </c>
      <c r="N815" t="s">
        <v>24</v>
      </c>
      <c r="O815">
        <f>Patient_data[[#This Row],[Appointment_Date]]-Patient_data[[#This Row],[Booking_Date]]</f>
        <v>286</v>
      </c>
    </row>
    <row r="816" spans="1:15" x14ac:dyDescent="0.25">
      <c r="A816">
        <v>1005</v>
      </c>
      <c r="B816">
        <v>24</v>
      </c>
      <c r="C816" t="s">
        <v>1445</v>
      </c>
      <c r="D816" t="s">
        <v>1639</v>
      </c>
      <c r="E816" t="s">
        <v>28</v>
      </c>
      <c r="F816" s="3">
        <v>45821</v>
      </c>
      <c r="G816" s="1">
        <f>YEAR(Patient_data[[#This Row],[Appointment_Date]])</f>
        <v>2025</v>
      </c>
      <c r="H816" s="2" t="str">
        <f>TEXT(Patient_data[[#This Row],[Appointment_Date]],"mmmm")</f>
        <v>June</v>
      </c>
      <c r="I816" s="3" t="str">
        <f>TEXT(Patient_data[[#This Row],[Appointment_Date]],"mmm-yyyy")</f>
        <v>Jun-2025</v>
      </c>
      <c r="J816" s="3">
        <v>45449</v>
      </c>
      <c r="K816" t="s">
        <v>1640</v>
      </c>
      <c r="L816" t="s">
        <v>30</v>
      </c>
      <c r="M816" s="4">
        <v>42.72</v>
      </c>
      <c r="N816" t="s">
        <v>20</v>
      </c>
      <c r="O816">
        <f>Patient_data[[#This Row],[Appointment_Date]]-Patient_data[[#This Row],[Booking_Date]]</f>
        <v>372</v>
      </c>
    </row>
    <row r="817" spans="1:15" x14ac:dyDescent="0.25">
      <c r="A817">
        <v>1028</v>
      </c>
      <c r="B817">
        <v>24</v>
      </c>
      <c r="C817" t="s">
        <v>1445</v>
      </c>
      <c r="D817" t="s">
        <v>1641</v>
      </c>
      <c r="E817" t="s">
        <v>28</v>
      </c>
      <c r="F817" s="3">
        <v>46085</v>
      </c>
      <c r="G817" s="1">
        <f>YEAR(Patient_data[[#This Row],[Appointment_Date]])</f>
        <v>2026</v>
      </c>
      <c r="H817" s="2" t="str">
        <f>TEXT(Patient_data[[#This Row],[Appointment_Date]],"mmmm")</f>
        <v>March</v>
      </c>
      <c r="I817" s="3" t="str">
        <f>TEXT(Patient_data[[#This Row],[Appointment_Date]],"mmm-yyyy")</f>
        <v>Mar-2026</v>
      </c>
      <c r="J817" s="3">
        <v>45749</v>
      </c>
      <c r="K817" t="s">
        <v>1642</v>
      </c>
      <c r="L817" t="s">
        <v>23</v>
      </c>
      <c r="M817" s="4">
        <v>2.3199999999999998</v>
      </c>
      <c r="N817" t="s">
        <v>24</v>
      </c>
      <c r="O817">
        <f>Patient_data[[#This Row],[Appointment_Date]]-Patient_data[[#This Row],[Booking_Date]]</f>
        <v>336</v>
      </c>
    </row>
    <row r="818" spans="1:15" x14ac:dyDescent="0.25">
      <c r="A818">
        <v>1045</v>
      </c>
      <c r="B818">
        <v>24</v>
      </c>
      <c r="C818" t="s">
        <v>1445</v>
      </c>
      <c r="D818" t="s">
        <v>1643</v>
      </c>
      <c r="E818" t="s">
        <v>28</v>
      </c>
      <c r="F818" s="3">
        <v>45993</v>
      </c>
      <c r="G818" s="1">
        <f>YEAR(Patient_data[[#This Row],[Appointment_Date]])</f>
        <v>2025</v>
      </c>
      <c r="H818" s="2" t="str">
        <f>TEXT(Patient_data[[#This Row],[Appointment_Date]],"mmmm")</f>
        <v>December</v>
      </c>
      <c r="I818" s="3" t="str">
        <f>TEXT(Patient_data[[#This Row],[Appointment_Date]],"mmm-yyyy")</f>
        <v>Dec-2025</v>
      </c>
      <c r="J818" s="3">
        <v>45760</v>
      </c>
      <c r="K818" t="s">
        <v>1644</v>
      </c>
      <c r="L818" t="s">
        <v>23</v>
      </c>
      <c r="M818" s="4">
        <v>246.63</v>
      </c>
      <c r="N818" t="s">
        <v>20</v>
      </c>
      <c r="O818">
        <f>Patient_data[[#This Row],[Appointment_Date]]-Patient_data[[#This Row],[Booking_Date]]</f>
        <v>233</v>
      </c>
    </row>
    <row r="819" spans="1:15" x14ac:dyDescent="0.25">
      <c r="A819">
        <v>1025</v>
      </c>
      <c r="B819">
        <v>23</v>
      </c>
      <c r="C819" t="s">
        <v>1445</v>
      </c>
      <c r="D819" t="s">
        <v>1645</v>
      </c>
      <c r="E819" t="s">
        <v>28</v>
      </c>
      <c r="F819" s="3">
        <v>46059</v>
      </c>
      <c r="G819" s="1">
        <f>YEAR(Patient_data[[#This Row],[Appointment_Date]])</f>
        <v>2026</v>
      </c>
      <c r="H819" s="2" t="str">
        <f>TEXT(Patient_data[[#This Row],[Appointment_Date]],"mmmm")</f>
        <v>February</v>
      </c>
      <c r="I819" s="3" t="str">
        <f>TEXT(Patient_data[[#This Row],[Appointment_Date]],"mmm-yyyy")</f>
        <v>Feb-2026</v>
      </c>
      <c r="J819" s="3">
        <v>45725</v>
      </c>
      <c r="K819" t="s">
        <v>1646</v>
      </c>
      <c r="L819" t="s">
        <v>43</v>
      </c>
      <c r="M819" s="4">
        <v>63.99</v>
      </c>
      <c r="N819" t="s">
        <v>24</v>
      </c>
      <c r="O819">
        <f>Patient_data[[#This Row],[Appointment_Date]]-Patient_data[[#This Row],[Booking_Date]]</f>
        <v>334</v>
      </c>
    </row>
    <row r="820" spans="1:15" x14ac:dyDescent="0.25">
      <c r="A820">
        <v>1022</v>
      </c>
      <c r="B820">
        <v>23</v>
      </c>
      <c r="C820" t="s">
        <v>1445</v>
      </c>
      <c r="D820" t="s">
        <v>1647</v>
      </c>
      <c r="E820" t="s">
        <v>28</v>
      </c>
      <c r="F820" s="3">
        <v>46072</v>
      </c>
      <c r="G820" s="1">
        <f>YEAR(Patient_data[[#This Row],[Appointment_Date]])</f>
        <v>2026</v>
      </c>
      <c r="H820" s="2" t="str">
        <f>TEXT(Patient_data[[#This Row],[Appointment_Date]],"mmmm")</f>
        <v>February</v>
      </c>
      <c r="I820" s="3" t="str">
        <f>TEXT(Patient_data[[#This Row],[Appointment_Date]],"mmm-yyyy")</f>
        <v>Feb-2026</v>
      </c>
      <c r="J820" s="3">
        <v>45551</v>
      </c>
      <c r="K820" t="s">
        <v>1648</v>
      </c>
      <c r="L820" t="s">
        <v>43</v>
      </c>
      <c r="M820" s="4">
        <v>82.34</v>
      </c>
      <c r="N820" t="s">
        <v>24</v>
      </c>
      <c r="O820">
        <f>Patient_data[[#This Row],[Appointment_Date]]-Patient_data[[#This Row],[Booking_Date]]</f>
        <v>521</v>
      </c>
    </row>
    <row r="821" spans="1:15" x14ac:dyDescent="0.25">
      <c r="A821">
        <v>1074</v>
      </c>
      <c r="B821">
        <v>23</v>
      </c>
      <c r="C821" t="s">
        <v>1445</v>
      </c>
      <c r="D821" t="s">
        <v>1649</v>
      </c>
      <c r="E821" t="s">
        <v>17</v>
      </c>
      <c r="F821" s="3">
        <v>46004</v>
      </c>
      <c r="G821" s="1">
        <f>YEAR(Patient_data[[#This Row],[Appointment_Date]])</f>
        <v>2025</v>
      </c>
      <c r="H821" s="2" t="str">
        <f>TEXT(Patient_data[[#This Row],[Appointment_Date]],"mmmm")</f>
        <v>December</v>
      </c>
      <c r="I821" s="3" t="str">
        <f>TEXT(Patient_data[[#This Row],[Appointment_Date]],"mmm-yyyy")</f>
        <v>Dec-2025</v>
      </c>
      <c r="J821" s="3">
        <v>45826</v>
      </c>
      <c r="K821" t="s">
        <v>1650</v>
      </c>
      <c r="L821" t="s">
        <v>43</v>
      </c>
      <c r="M821" s="4">
        <v>260.39999999999998</v>
      </c>
      <c r="N821" t="s">
        <v>24</v>
      </c>
      <c r="O821">
        <f>Patient_data[[#This Row],[Appointment_Date]]-Patient_data[[#This Row],[Booking_Date]]</f>
        <v>178</v>
      </c>
    </row>
    <row r="822" spans="1:15" x14ac:dyDescent="0.25">
      <c r="A822">
        <v>1074</v>
      </c>
      <c r="B822">
        <v>23</v>
      </c>
      <c r="C822" t="s">
        <v>1445</v>
      </c>
      <c r="D822" t="s">
        <v>1651</v>
      </c>
      <c r="E822" t="s">
        <v>17</v>
      </c>
      <c r="F822" s="3">
        <v>45984</v>
      </c>
      <c r="G822" s="1">
        <f>YEAR(Patient_data[[#This Row],[Appointment_Date]])</f>
        <v>2025</v>
      </c>
      <c r="H822" s="2" t="str">
        <f>TEXT(Patient_data[[#This Row],[Appointment_Date]],"mmmm")</f>
        <v>November</v>
      </c>
      <c r="I822" s="3" t="str">
        <f>TEXT(Patient_data[[#This Row],[Appointment_Date]],"mmm-yyyy")</f>
        <v>Nov-2025</v>
      </c>
      <c r="J822" s="3">
        <v>45910</v>
      </c>
      <c r="K822" t="s">
        <v>1652</v>
      </c>
      <c r="L822" t="s">
        <v>43</v>
      </c>
      <c r="M822" s="4">
        <v>21.34</v>
      </c>
      <c r="N822" t="s">
        <v>20</v>
      </c>
      <c r="O822">
        <f>Patient_data[[#This Row],[Appointment_Date]]-Patient_data[[#This Row],[Booking_Date]]</f>
        <v>74</v>
      </c>
    </row>
    <row r="823" spans="1:15" x14ac:dyDescent="0.25">
      <c r="A823">
        <v>1099</v>
      </c>
      <c r="B823">
        <v>23</v>
      </c>
      <c r="C823" t="s">
        <v>1445</v>
      </c>
      <c r="D823" t="s">
        <v>1653</v>
      </c>
      <c r="E823" t="s">
        <v>28</v>
      </c>
      <c r="F823" s="3">
        <v>45897</v>
      </c>
      <c r="G823" s="1">
        <f>YEAR(Patient_data[[#This Row],[Appointment_Date]])</f>
        <v>2025</v>
      </c>
      <c r="H823" s="2" t="str">
        <f>TEXT(Patient_data[[#This Row],[Appointment_Date]],"mmmm")</f>
        <v>August</v>
      </c>
      <c r="I823" s="3" t="str">
        <f>TEXT(Patient_data[[#This Row],[Appointment_Date]],"mmm-yyyy")</f>
        <v>Aug-2025</v>
      </c>
      <c r="J823" s="3">
        <v>45539</v>
      </c>
      <c r="K823" t="s">
        <v>1654</v>
      </c>
      <c r="L823" t="s">
        <v>30</v>
      </c>
      <c r="M823" s="4">
        <v>284.29000000000002</v>
      </c>
      <c r="N823" t="s">
        <v>20</v>
      </c>
      <c r="O823">
        <f>Patient_data[[#This Row],[Appointment_Date]]-Patient_data[[#This Row],[Booking_Date]]</f>
        <v>358</v>
      </c>
    </row>
    <row r="824" spans="1:15" x14ac:dyDescent="0.25">
      <c r="A824">
        <v>1031</v>
      </c>
      <c r="B824">
        <v>23</v>
      </c>
      <c r="C824" t="s">
        <v>1445</v>
      </c>
      <c r="D824" t="s">
        <v>1655</v>
      </c>
      <c r="E824" t="s">
        <v>17</v>
      </c>
      <c r="F824" s="3">
        <v>46087</v>
      </c>
      <c r="G824" s="1">
        <f>YEAR(Patient_data[[#This Row],[Appointment_Date]])</f>
        <v>2026</v>
      </c>
      <c r="H824" s="2" t="str">
        <f>TEXT(Patient_data[[#This Row],[Appointment_Date]],"mmmm")</f>
        <v>March</v>
      </c>
      <c r="I824" s="3" t="str">
        <f>TEXT(Patient_data[[#This Row],[Appointment_Date]],"mmm-yyyy")</f>
        <v>Mar-2026</v>
      </c>
      <c r="J824" s="3">
        <v>45493</v>
      </c>
      <c r="K824" t="s">
        <v>1656</v>
      </c>
      <c r="L824" t="s">
        <v>30</v>
      </c>
      <c r="M824" s="4">
        <v>50.86</v>
      </c>
      <c r="N824" t="s">
        <v>24</v>
      </c>
      <c r="O824">
        <f>Patient_data[[#This Row],[Appointment_Date]]-Patient_data[[#This Row],[Booking_Date]]</f>
        <v>594</v>
      </c>
    </row>
    <row r="825" spans="1:15" x14ac:dyDescent="0.25">
      <c r="A825">
        <v>1061</v>
      </c>
      <c r="B825">
        <v>23</v>
      </c>
      <c r="C825" t="s">
        <v>1445</v>
      </c>
      <c r="D825" t="s">
        <v>1657</v>
      </c>
      <c r="E825" t="s">
        <v>17</v>
      </c>
      <c r="F825" s="3">
        <v>46030</v>
      </c>
      <c r="G825" s="1">
        <f>YEAR(Patient_data[[#This Row],[Appointment_Date]])</f>
        <v>2026</v>
      </c>
      <c r="H825" s="2" t="str">
        <f>TEXT(Patient_data[[#This Row],[Appointment_Date]],"mmmm")</f>
        <v>January</v>
      </c>
      <c r="I825" s="3" t="str">
        <f>TEXT(Patient_data[[#This Row],[Appointment_Date]],"mmm-yyyy")</f>
        <v>Jan-2026</v>
      </c>
      <c r="J825" s="3">
        <v>45625</v>
      </c>
      <c r="K825" t="s">
        <v>1658</v>
      </c>
      <c r="L825" t="s">
        <v>30</v>
      </c>
      <c r="M825" s="4">
        <v>30.73</v>
      </c>
      <c r="N825" t="s">
        <v>20</v>
      </c>
      <c r="O825">
        <f>Patient_data[[#This Row],[Appointment_Date]]-Patient_data[[#This Row],[Booking_Date]]</f>
        <v>405</v>
      </c>
    </row>
    <row r="826" spans="1:15" x14ac:dyDescent="0.25">
      <c r="A826">
        <v>1089</v>
      </c>
      <c r="B826">
        <v>23</v>
      </c>
      <c r="C826" t="s">
        <v>1445</v>
      </c>
      <c r="D826" t="s">
        <v>1659</v>
      </c>
      <c r="E826" t="s">
        <v>28</v>
      </c>
      <c r="F826" s="3">
        <v>45879</v>
      </c>
      <c r="G826" s="1">
        <f>YEAR(Patient_data[[#This Row],[Appointment_Date]])</f>
        <v>2025</v>
      </c>
      <c r="H826" s="2" t="str">
        <f>TEXT(Patient_data[[#This Row],[Appointment_Date]],"mmmm")</f>
        <v>August</v>
      </c>
      <c r="I826" s="3" t="str">
        <f>TEXT(Patient_data[[#This Row],[Appointment_Date]],"mmm-yyyy")</f>
        <v>Aug-2025</v>
      </c>
      <c r="J826" s="3">
        <v>45769</v>
      </c>
      <c r="K826" t="s">
        <v>1660</v>
      </c>
      <c r="L826" t="s">
        <v>23</v>
      </c>
      <c r="M826" s="4">
        <v>50</v>
      </c>
      <c r="N826" t="s">
        <v>20</v>
      </c>
      <c r="O826">
        <f>Patient_data[[#This Row],[Appointment_Date]]-Patient_data[[#This Row],[Booking_Date]]</f>
        <v>110</v>
      </c>
    </row>
    <row r="827" spans="1:15" x14ac:dyDescent="0.25">
      <c r="A827">
        <v>1010</v>
      </c>
      <c r="B827">
        <v>23</v>
      </c>
      <c r="C827" t="s">
        <v>1445</v>
      </c>
      <c r="D827" t="s">
        <v>1661</v>
      </c>
      <c r="E827" t="s">
        <v>28</v>
      </c>
      <c r="F827" s="3">
        <v>45759</v>
      </c>
      <c r="G827" s="1">
        <f>YEAR(Patient_data[[#This Row],[Appointment_Date]])</f>
        <v>2025</v>
      </c>
      <c r="H827" s="2" t="str">
        <f>TEXT(Patient_data[[#This Row],[Appointment_Date]],"mmmm")</f>
        <v>April</v>
      </c>
      <c r="I827" s="3" t="str">
        <f>TEXT(Patient_data[[#This Row],[Appointment_Date]],"mmm-yyyy")</f>
        <v>Apr-2025</v>
      </c>
      <c r="J827" s="3">
        <v>45548</v>
      </c>
      <c r="K827" t="s">
        <v>1662</v>
      </c>
      <c r="L827" t="s">
        <v>30</v>
      </c>
      <c r="M827" s="4">
        <v>74.12</v>
      </c>
      <c r="N827" t="s">
        <v>20</v>
      </c>
      <c r="O827">
        <f>Patient_data[[#This Row],[Appointment_Date]]-Patient_data[[#This Row],[Booking_Date]]</f>
        <v>211</v>
      </c>
    </row>
    <row r="828" spans="1:15" x14ac:dyDescent="0.25">
      <c r="A828">
        <v>1069</v>
      </c>
      <c r="B828">
        <v>23</v>
      </c>
      <c r="C828" t="s">
        <v>1445</v>
      </c>
      <c r="D828" t="s">
        <v>1663</v>
      </c>
      <c r="E828" t="s">
        <v>17</v>
      </c>
      <c r="F828" s="3">
        <v>45944</v>
      </c>
      <c r="G828" s="1">
        <f>YEAR(Patient_data[[#This Row],[Appointment_Date]])</f>
        <v>2025</v>
      </c>
      <c r="H828" s="2" t="str">
        <f>TEXT(Patient_data[[#This Row],[Appointment_Date]],"mmmm")</f>
        <v>October</v>
      </c>
      <c r="I828" s="3" t="str">
        <f>TEXT(Patient_data[[#This Row],[Appointment_Date]],"mmm-yyyy")</f>
        <v>Oct-2025</v>
      </c>
      <c r="J828" s="3">
        <v>45696</v>
      </c>
      <c r="K828" t="s">
        <v>1664</v>
      </c>
      <c r="L828" t="s">
        <v>19</v>
      </c>
      <c r="M828" s="4">
        <v>68.239999999999995</v>
      </c>
      <c r="N828" t="s">
        <v>24</v>
      </c>
      <c r="O828">
        <f>Patient_data[[#This Row],[Appointment_Date]]-Patient_data[[#This Row],[Booking_Date]]</f>
        <v>248</v>
      </c>
    </row>
    <row r="829" spans="1:15" x14ac:dyDescent="0.25">
      <c r="A829">
        <v>1059</v>
      </c>
      <c r="B829">
        <v>23</v>
      </c>
      <c r="C829" t="s">
        <v>1445</v>
      </c>
      <c r="D829" t="s">
        <v>1665</v>
      </c>
      <c r="E829" t="s">
        <v>17</v>
      </c>
      <c r="F829" s="3">
        <v>45910</v>
      </c>
      <c r="G829" s="1">
        <f>YEAR(Patient_data[[#This Row],[Appointment_Date]])</f>
        <v>2025</v>
      </c>
      <c r="H829" s="2" t="str">
        <f>TEXT(Patient_data[[#This Row],[Appointment_Date]],"mmmm")</f>
        <v>September</v>
      </c>
      <c r="I829" s="3" t="str">
        <f>TEXT(Patient_data[[#This Row],[Appointment_Date]],"mmm-yyyy")</f>
        <v>Sep-2025</v>
      </c>
      <c r="J829" s="3">
        <v>45405</v>
      </c>
      <c r="K829" t="s">
        <v>1666</v>
      </c>
      <c r="L829" t="s">
        <v>23</v>
      </c>
      <c r="M829" s="4">
        <v>37.479999999999997</v>
      </c>
      <c r="N829" t="s">
        <v>24</v>
      </c>
      <c r="O829">
        <f>Patient_data[[#This Row],[Appointment_Date]]-Patient_data[[#This Row],[Booking_Date]]</f>
        <v>505</v>
      </c>
    </row>
    <row r="830" spans="1:15" x14ac:dyDescent="0.25">
      <c r="A830">
        <v>1005</v>
      </c>
      <c r="B830">
        <v>23</v>
      </c>
      <c r="C830" t="s">
        <v>1445</v>
      </c>
      <c r="D830" t="s">
        <v>1667</v>
      </c>
      <c r="E830" t="s">
        <v>17</v>
      </c>
      <c r="F830" s="3">
        <v>46015</v>
      </c>
      <c r="G830" s="1">
        <f>YEAR(Patient_data[[#This Row],[Appointment_Date]])</f>
        <v>2025</v>
      </c>
      <c r="H830" s="2" t="str">
        <f>TEXT(Patient_data[[#This Row],[Appointment_Date]],"mmmm")</f>
        <v>December</v>
      </c>
      <c r="I830" s="3" t="str">
        <f>TEXT(Patient_data[[#This Row],[Appointment_Date]],"mmm-yyyy")</f>
        <v>Dec-2025</v>
      </c>
      <c r="J830" s="3">
        <v>45662</v>
      </c>
      <c r="K830" t="s">
        <v>1668</v>
      </c>
      <c r="L830" t="s">
        <v>43</v>
      </c>
      <c r="M830" s="4">
        <v>65.67</v>
      </c>
      <c r="N830" t="s">
        <v>20</v>
      </c>
      <c r="O830">
        <f>Patient_data[[#This Row],[Appointment_Date]]-Patient_data[[#This Row],[Booking_Date]]</f>
        <v>353</v>
      </c>
    </row>
    <row r="831" spans="1:15" x14ac:dyDescent="0.25">
      <c r="A831">
        <v>1062</v>
      </c>
      <c r="B831">
        <v>23</v>
      </c>
      <c r="C831" t="s">
        <v>1445</v>
      </c>
      <c r="D831" t="s">
        <v>1669</v>
      </c>
      <c r="E831" t="s">
        <v>28</v>
      </c>
      <c r="F831" s="3">
        <v>46051</v>
      </c>
      <c r="G831" s="1">
        <f>YEAR(Patient_data[[#This Row],[Appointment_Date]])</f>
        <v>2026</v>
      </c>
      <c r="H831" s="2" t="str">
        <f>TEXT(Patient_data[[#This Row],[Appointment_Date]],"mmmm")</f>
        <v>January</v>
      </c>
      <c r="I831" s="3" t="str">
        <f>TEXT(Patient_data[[#This Row],[Appointment_Date]],"mmm-yyyy")</f>
        <v>Jan-2026</v>
      </c>
      <c r="J831" s="3">
        <v>45474</v>
      </c>
      <c r="K831" t="s">
        <v>1670</v>
      </c>
      <c r="L831" t="s">
        <v>43</v>
      </c>
      <c r="M831" s="4">
        <v>51.03</v>
      </c>
      <c r="N831" t="s">
        <v>20</v>
      </c>
      <c r="O831">
        <f>Patient_data[[#This Row],[Appointment_Date]]-Patient_data[[#This Row],[Booking_Date]]</f>
        <v>577</v>
      </c>
    </row>
    <row r="832" spans="1:15" x14ac:dyDescent="0.25">
      <c r="A832">
        <v>1093</v>
      </c>
      <c r="B832">
        <v>23</v>
      </c>
      <c r="C832" t="s">
        <v>1445</v>
      </c>
      <c r="D832" t="s">
        <v>930</v>
      </c>
      <c r="E832" t="s">
        <v>17</v>
      </c>
      <c r="F832" s="3">
        <v>45909</v>
      </c>
      <c r="G832" s="1">
        <f>YEAR(Patient_data[[#This Row],[Appointment_Date]])</f>
        <v>2025</v>
      </c>
      <c r="H832" s="2" t="str">
        <f>TEXT(Patient_data[[#This Row],[Appointment_Date]],"mmmm")</f>
        <v>September</v>
      </c>
      <c r="I832" s="3" t="str">
        <f>TEXT(Patient_data[[#This Row],[Appointment_Date]],"mmm-yyyy")</f>
        <v>Sep-2025</v>
      </c>
      <c r="J832" s="3">
        <v>45621</v>
      </c>
      <c r="K832" t="s">
        <v>1671</v>
      </c>
      <c r="L832" t="s">
        <v>23</v>
      </c>
      <c r="M832" s="4">
        <v>39.43</v>
      </c>
      <c r="N832" t="s">
        <v>20</v>
      </c>
      <c r="O832">
        <f>Patient_data[[#This Row],[Appointment_Date]]-Patient_data[[#This Row],[Booking_Date]]</f>
        <v>288</v>
      </c>
    </row>
    <row r="833" spans="1:15" x14ac:dyDescent="0.25">
      <c r="A833">
        <v>1029</v>
      </c>
      <c r="B833">
        <v>23</v>
      </c>
      <c r="C833" t="s">
        <v>1445</v>
      </c>
      <c r="D833" t="s">
        <v>1672</v>
      </c>
      <c r="E833" t="s">
        <v>28</v>
      </c>
      <c r="F833" s="3">
        <v>46054</v>
      </c>
      <c r="G833" s="1">
        <f>YEAR(Patient_data[[#This Row],[Appointment_Date]])</f>
        <v>2026</v>
      </c>
      <c r="H833" s="2" t="str">
        <f>TEXT(Patient_data[[#This Row],[Appointment_Date]],"mmmm")</f>
        <v>February</v>
      </c>
      <c r="I833" s="3" t="str">
        <f>TEXT(Patient_data[[#This Row],[Appointment_Date]],"mmm-yyyy")</f>
        <v>Feb-2026</v>
      </c>
      <c r="J833" s="3">
        <v>45904</v>
      </c>
      <c r="K833" t="s">
        <v>1673</v>
      </c>
      <c r="L833" t="s">
        <v>43</v>
      </c>
      <c r="M833" s="4">
        <v>63.06</v>
      </c>
      <c r="N833" t="s">
        <v>24</v>
      </c>
      <c r="O833">
        <f>Patient_data[[#This Row],[Appointment_Date]]-Patient_data[[#This Row],[Booking_Date]]</f>
        <v>150</v>
      </c>
    </row>
    <row r="834" spans="1:15" x14ac:dyDescent="0.25">
      <c r="A834">
        <v>1074</v>
      </c>
      <c r="B834">
        <v>23</v>
      </c>
      <c r="C834" t="s">
        <v>1445</v>
      </c>
      <c r="D834" t="s">
        <v>1674</v>
      </c>
      <c r="E834" t="s">
        <v>17</v>
      </c>
      <c r="F834" s="3">
        <v>45803</v>
      </c>
      <c r="G834" s="1">
        <f>YEAR(Patient_data[[#This Row],[Appointment_Date]])</f>
        <v>2025</v>
      </c>
      <c r="H834" s="2" t="str">
        <f>TEXT(Patient_data[[#This Row],[Appointment_Date]],"mmmm")</f>
        <v>May</v>
      </c>
      <c r="I834" s="3" t="str">
        <f>TEXT(Patient_data[[#This Row],[Appointment_Date]],"mmm-yyyy")</f>
        <v>May-2025</v>
      </c>
      <c r="J834" s="3">
        <v>45674</v>
      </c>
      <c r="K834" t="s">
        <v>1675</v>
      </c>
      <c r="L834" t="s">
        <v>19</v>
      </c>
      <c r="M834" s="4">
        <v>57.03</v>
      </c>
      <c r="N834" t="s">
        <v>24</v>
      </c>
      <c r="O834">
        <f>Patient_data[[#This Row],[Appointment_Date]]-Patient_data[[#This Row],[Booking_Date]]</f>
        <v>129</v>
      </c>
    </row>
    <row r="835" spans="1:15" x14ac:dyDescent="0.25">
      <c r="A835">
        <v>1050</v>
      </c>
      <c r="B835">
        <v>23</v>
      </c>
      <c r="C835" t="s">
        <v>1445</v>
      </c>
      <c r="D835" t="s">
        <v>1676</v>
      </c>
      <c r="E835" t="s">
        <v>28</v>
      </c>
      <c r="F835" s="3">
        <v>45957</v>
      </c>
      <c r="G835" s="1">
        <f>YEAR(Patient_data[[#This Row],[Appointment_Date]])</f>
        <v>2025</v>
      </c>
      <c r="H835" s="2" t="str">
        <f>TEXT(Patient_data[[#This Row],[Appointment_Date]],"mmmm")</f>
        <v>October</v>
      </c>
      <c r="I835" s="3" t="str">
        <f>TEXT(Patient_data[[#This Row],[Appointment_Date]],"mmm-yyyy")</f>
        <v>Oct-2025</v>
      </c>
      <c r="J835" s="3">
        <v>45830</v>
      </c>
      <c r="K835" t="s">
        <v>1677</v>
      </c>
      <c r="L835" t="s">
        <v>30</v>
      </c>
      <c r="M835" s="4">
        <v>437.95</v>
      </c>
      <c r="N835" t="s">
        <v>24</v>
      </c>
      <c r="O835">
        <f>Patient_data[[#This Row],[Appointment_Date]]-Patient_data[[#This Row],[Booking_Date]]</f>
        <v>127</v>
      </c>
    </row>
    <row r="836" spans="1:15" x14ac:dyDescent="0.25">
      <c r="A836">
        <v>1018</v>
      </c>
      <c r="B836">
        <v>22</v>
      </c>
      <c r="C836" t="s">
        <v>1445</v>
      </c>
      <c r="D836" t="s">
        <v>1678</v>
      </c>
      <c r="E836" t="s">
        <v>28</v>
      </c>
      <c r="F836" s="3">
        <v>45960</v>
      </c>
      <c r="G836" s="1">
        <f>YEAR(Patient_data[[#This Row],[Appointment_Date]])</f>
        <v>2025</v>
      </c>
      <c r="H836" s="2" t="str">
        <f>TEXT(Patient_data[[#This Row],[Appointment_Date]],"mmmm")</f>
        <v>October</v>
      </c>
      <c r="I836" s="3" t="str">
        <f>TEXT(Patient_data[[#This Row],[Appointment_Date]],"mmm-yyyy")</f>
        <v>Oct-2025</v>
      </c>
      <c r="J836" s="3">
        <v>45655</v>
      </c>
      <c r="K836" t="s">
        <v>1679</v>
      </c>
      <c r="L836" t="s">
        <v>30</v>
      </c>
      <c r="M836" s="4">
        <v>9</v>
      </c>
      <c r="N836" t="s">
        <v>20</v>
      </c>
      <c r="O836">
        <f>Patient_data[[#This Row],[Appointment_Date]]-Patient_data[[#This Row],[Booking_Date]]</f>
        <v>305</v>
      </c>
    </row>
    <row r="837" spans="1:15" x14ac:dyDescent="0.25">
      <c r="A837">
        <v>1088</v>
      </c>
      <c r="B837">
        <v>22</v>
      </c>
      <c r="C837" t="s">
        <v>1445</v>
      </c>
      <c r="D837" t="s">
        <v>1680</v>
      </c>
      <c r="E837" t="s">
        <v>17</v>
      </c>
      <c r="F837" s="3">
        <v>45963</v>
      </c>
      <c r="G837" s="1">
        <f>YEAR(Patient_data[[#This Row],[Appointment_Date]])</f>
        <v>2025</v>
      </c>
      <c r="H837" s="2" t="str">
        <f>TEXT(Patient_data[[#This Row],[Appointment_Date]],"mmmm")</f>
        <v>November</v>
      </c>
      <c r="I837" s="3" t="str">
        <f>TEXT(Patient_data[[#This Row],[Appointment_Date]],"mmm-yyyy")</f>
        <v>Nov-2025</v>
      </c>
      <c r="J837" s="3">
        <v>45771</v>
      </c>
      <c r="K837" t="s">
        <v>1681</v>
      </c>
      <c r="L837" t="s">
        <v>23</v>
      </c>
      <c r="M837" s="4">
        <v>6.53</v>
      </c>
      <c r="N837" t="s">
        <v>24</v>
      </c>
      <c r="O837">
        <f>Patient_data[[#This Row],[Appointment_Date]]-Patient_data[[#This Row],[Booking_Date]]</f>
        <v>192</v>
      </c>
    </row>
    <row r="838" spans="1:15" x14ac:dyDescent="0.25">
      <c r="A838">
        <v>1037</v>
      </c>
      <c r="B838">
        <v>22</v>
      </c>
      <c r="C838" t="s">
        <v>1445</v>
      </c>
      <c r="D838" t="s">
        <v>1682</v>
      </c>
      <c r="E838" t="s">
        <v>28</v>
      </c>
      <c r="F838" s="3">
        <v>46081</v>
      </c>
      <c r="G838" s="1">
        <f>YEAR(Patient_data[[#This Row],[Appointment_Date]])</f>
        <v>2026</v>
      </c>
      <c r="H838" s="2" t="str">
        <f>TEXT(Patient_data[[#This Row],[Appointment_Date]],"mmmm")</f>
        <v>February</v>
      </c>
      <c r="I838" s="3" t="str">
        <f>TEXT(Patient_data[[#This Row],[Appointment_Date]],"mmm-yyyy")</f>
        <v>Feb-2026</v>
      </c>
      <c r="J838" s="3">
        <v>45738</v>
      </c>
      <c r="K838" t="s">
        <v>1683</v>
      </c>
      <c r="L838" t="s">
        <v>19</v>
      </c>
      <c r="M838" s="4">
        <v>401.33</v>
      </c>
      <c r="N838" t="s">
        <v>24</v>
      </c>
      <c r="O838">
        <f>Patient_data[[#This Row],[Appointment_Date]]-Patient_data[[#This Row],[Booking_Date]]</f>
        <v>343</v>
      </c>
    </row>
    <row r="839" spans="1:15" x14ac:dyDescent="0.25">
      <c r="A839">
        <v>1052</v>
      </c>
      <c r="B839">
        <v>22</v>
      </c>
      <c r="C839" t="s">
        <v>1445</v>
      </c>
      <c r="D839" t="s">
        <v>1684</v>
      </c>
      <c r="E839" t="s">
        <v>28</v>
      </c>
      <c r="F839" s="3">
        <v>45954</v>
      </c>
      <c r="G839" s="1">
        <f>YEAR(Patient_data[[#This Row],[Appointment_Date]])</f>
        <v>2025</v>
      </c>
      <c r="H839" s="2" t="str">
        <f>TEXT(Patient_data[[#This Row],[Appointment_Date]],"mmmm")</f>
        <v>October</v>
      </c>
      <c r="I839" s="3" t="str">
        <f>TEXT(Patient_data[[#This Row],[Appointment_Date]],"mmm-yyyy")</f>
        <v>Oct-2025</v>
      </c>
      <c r="J839" s="3">
        <v>45663</v>
      </c>
      <c r="K839" t="s">
        <v>1685</v>
      </c>
      <c r="L839" t="s">
        <v>43</v>
      </c>
      <c r="M839" s="4">
        <v>81.62</v>
      </c>
      <c r="N839" t="s">
        <v>20</v>
      </c>
      <c r="O839">
        <f>Patient_data[[#This Row],[Appointment_Date]]-Patient_data[[#This Row],[Booking_Date]]</f>
        <v>291</v>
      </c>
    </row>
    <row r="840" spans="1:15" x14ac:dyDescent="0.25">
      <c r="A840">
        <v>1040</v>
      </c>
      <c r="B840">
        <v>22</v>
      </c>
      <c r="C840" t="s">
        <v>1445</v>
      </c>
      <c r="D840" t="s">
        <v>1686</v>
      </c>
      <c r="E840" t="s">
        <v>28</v>
      </c>
      <c r="F840" s="3">
        <v>46006</v>
      </c>
      <c r="G840" s="1">
        <f>YEAR(Patient_data[[#This Row],[Appointment_Date]])</f>
        <v>2025</v>
      </c>
      <c r="H840" s="2" t="str">
        <f>TEXT(Patient_data[[#This Row],[Appointment_Date]],"mmmm")</f>
        <v>December</v>
      </c>
      <c r="I840" s="3" t="str">
        <f>TEXT(Patient_data[[#This Row],[Appointment_Date]],"mmm-yyyy")</f>
        <v>Dec-2025</v>
      </c>
      <c r="J840" s="3">
        <v>45430</v>
      </c>
      <c r="K840" t="s">
        <v>1687</v>
      </c>
      <c r="L840" t="s">
        <v>43</v>
      </c>
      <c r="M840" s="4">
        <v>44.67</v>
      </c>
      <c r="N840" t="s">
        <v>20</v>
      </c>
      <c r="O840">
        <f>Patient_data[[#This Row],[Appointment_Date]]-Patient_data[[#This Row],[Booking_Date]]</f>
        <v>576</v>
      </c>
    </row>
    <row r="841" spans="1:15" x14ac:dyDescent="0.25">
      <c r="A841">
        <v>1085</v>
      </c>
      <c r="B841">
        <v>22</v>
      </c>
      <c r="C841" t="s">
        <v>1445</v>
      </c>
      <c r="D841" t="s">
        <v>1688</v>
      </c>
      <c r="E841" t="s">
        <v>28</v>
      </c>
      <c r="F841" s="3">
        <v>45932</v>
      </c>
      <c r="G841" s="1">
        <f>YEAR(Patient_data[[#This Row],[Appointment_Date]])</f>
        <v>2025</v>
      </c>
      <c r="H841" s="2" t="str">
        <f>TEXT(Patient_data[[#This Row],[Appointment_Date]],"mmmm")</f>
        <v>October</v>
      </c>
      <c r="I841" s="3" t="str">
        <f>TEXT(Patient_data[[#This Row],[Appointment_Date]],"mmm-yyyy")</f>
        <v>Oct-2025</v>
      </c>
      <c r="J841" s="3">
        <v>45842</v>
      </c>
      <c r="K841" t="s">
        <v>1689</v>
      </c>
      <c r="L841" t="s">
        <v>23</v>
      </c>
      <c r="M841" s="4">
        <v>498.58</v>
      </c>
      <c r="N841" t="s">
        <v>20</v>
      </c>
      <c r="O841">
        <f>Patient_data[[#This Row],[Appointment_Date]]-Patient_data[[#This Row],[Booking_Date]]</f>
        <v>90</v>
      </c>
    </row>
    <row r="842" spans="1:15" x14ac:dyDescent="0.25">
      <c r="A842">
        <v>1008</v>
      </c>
      <c r="B842">
        <v>22</v>
      </c>
      <c r="C842" t="s">
        <v>1445</v>
      </c>
      <c r="D842" t="s">
        <v>1690</v>
      </c>
      <c r="E842" t="s">
        <v>28</v>
      </c>
      <c r="F842" s="3">
        <v>45912</v>
      </c>
      <c r="G842" s="1">
        <f>YEAR(Patient_data[[#This Row],[Appointment_Date]])</f>
        <v>2025</v>
      </c>
      <c r="H842" s="2" t="str">
        <f>TEXT(Patient_data[[#This Row],[Appointment_Date]],"mmmm")</f>
        <v>September</v>
      </c>
      <c r="I842" s="3" t="str">
        <f>TEXT(Patient_data[[#This Row],[Appointment_Date]],"mmm-yyyy")</f>
        <v>Sep-2025</v>
      </c>
      <c r="J842" s="3">
        <v>45555</v>
      </c>
      <c r="K842" t="s">
        <v>1691</v>
      </c>
      <c r="L842" t="s">
        <v>23</v>
      </c>
      <c r="M842" s="4">
        <v>51.04</v>
      </c>
      <c r="N842" t="s">
        <v>24</v>
      </c>
      <c r="O842">
        <f>Patient_data[[#This Row],[Appointment_Date]]-Patient_data[[#This Row],[Booking_Date]]</f>
        <v>357</v>
      </c>
    </row>
    <row r="843" spans="1:15" x14ac:dyDescent="0.25">
      <c r="A843">
        <v>1094</v>
      </c>
      <c r="B843">
        <v>22</v>
      </c>
      <c r="C843" t="s">
        <v>1445</v>
      </c>
      <c r="D843" t="s">
        <v>1692</v>
      </c>
      <c r="E843" t="s">
        <v>28</v>
      </c>
      <c r="F843" s="3">
        <v>46097</v>
      </c>
      <c r="G843" s="1">
        <f>YEAR(Patient_data[[#This Row],[Appointment_Date]])</f>
        <v>2026</v>
      </c>
      <c r="H843" s="2" t="str">
        <f>TEXT(Patient_data[[#This Row],[Appointment_Date]],"mmmm")</f>
        <v>March</v>
      </c>
      <c r="I843" s="3" t="str">
        <f>TEXT(Patient_data[[#This Row],[Appointment_Date]],"mmm-yyyy")</f>
        <v>Mar-2026</v>
      </c>
      <c r="J843" s="3">
        <v>45622</v>
      </c>
      <c r="K843" t="s">
        <v>1693</v>
      </c>
      <c r="L843" t="s">
        <v>43</v>
      </c>
      <c r="M843" s="4">
        <v>57.94</v>
      </c>
      <c r="N843" t="s">
        <v>24</v>
      </c>
      <c r="O843">
        <f>Patient_data[[#This Row],[Appointment_Date]]-Patient_data[[#This Row],[Booking_Date]]</f>
        <v>475</v>
      </c>
    </row>
    <row r="844" spans="1:15" x14ac:dyDescent="0.25">
      <c r="A844">
        <v>1028</v>
      </c>
      <c r="B844">
        <v>22</v>
      </c>
      <c r="C844" t="s">
        <v>1445</v>
      </c>
      <c r="D844" t="s">
        <v>1694</v>
      </c>
      <c r="E844" t="s">
        <v>28</v>
      </c>
      <c r="F844" s="3">
        <v>46008</v>
      </c>
      <c r="G844" s="1">
        <f>YEAR(Patient_data[[#This Row],[Appointment_Date]])</f>
        <v>2025</v>
      </c>
      <c r="H844" s="2" t="str">
        <f>TEXT(Patient_data[[#This Row],[Appointment_Date]],"mmmm")</f>
        <v>December</v>
      </c>
      <c r="I844" s="3" t="str">
        <f>TEXT(Patient_data[[#This Row],[Appointment_Date]],"mmm-yyyy")</f>
        <v>Dec-2025</v>
      </c>
      <c r="J844" s="3">
        <v>45875</v>
      </c>
      <c r="K844" t="s">
        <v>1695</v>
      </c>
      <c r="L844" t="s">
        <v>43</v>
      </c>
      <c r="M844" s="4">
        <v>50.15</v>
      </c>
      <c r="N844" t="s">
        <v>20</v>
      </c>
      <c r="O844">
        <f>Patient_data[[#This Row],[Appointment_Date]]-Patient_data[[#This Row],[Booking_Date]]</f>
        <v>133</v>
      </c>
    </row>
    <row r="845" spans="1:15" x14ac:dyDescent="0.25">
      <c r="A845">
        <v>1002</v>
      </c>
      <c r="B845">
        <v>22</v>
      </c>
      <c r="C845" t="s">
        <v>1445</v>
      </c>
      <c r="D845" t="s">
        <v>1696</v>
      </c>
      <c r="E845" t="s">
        <v>17</v>
      </c>
      <c r="F845" s="3">
        <v>45886</v>
      </c>
      <c r="G845" s="1">
        <f>YEAR(Patient_data[[#This Row],[Appointment_Date]])</f>
        <v>2025</v>
      </c>
      <c r="H845" s="2" t="str">
        <f>TEXT(Patient_data[[#This Row],[Appointment_Date]],"mmmm")</f>
        <v>August</v>
      </c>
      <c r="I845" s="3" t="str">
        <f>TEXT(Patient_data[[#This Row],[Appointment_Date]],"mmm-yyyy")</f>
        <v>Aug-2025</v>
      </c>
      <c r="J845" s="3">
        <v>45662</v>
      </c>
      <c r="K845" t="s">
        <v>1697</v>
      </c>
      <c r="L845" t="s">
        <v>43</v>
      </c>
      <c r="M845" s="4">
        <v>89.17</v>
      </c>
      <c r="N845" t="s">
        <v>20</v>
      </c>
      <c r="O845">
        <f>Patient_data[[#This Row],[Appointment_Date]]-Patient_data[[#This Row],[Booking_Date]]</f>
        <v>224</v>
      </c>
    </row>
    <row r="846" spans="1:15" x14ac:dyDescent="0.25">
      <c r="A846">
        <v>1063</v>
      </c>
      <c r="B846">
        <v>21</v>
      </c>
      <c r="C846" t="s">
        <v>1445</v>
      </c>
      <c r="D846" t="s">
        <v>1698</v>
      </c>
      <c r="E846" t="s">
        <v>17</v>
      </c>
      <c r="F846" s="3">
        <v>45973</v>
      </c>
      <c r="G846" s="1">
        <f>YEAR(Patient_data[[#This Row],[Appointment_Date]])</f>
        <v>2025</v>
      </c>
      <c r="H846" s="2" t="str">
        <f>TEXT(Patient_data[[#This Row],[Appointment_Date]],"mmmm")</f>
        <v>November</v>
      </c>
      <c r="I846" s="3" t="str">
        <f>TEXT(Patient_data[[#This Row],[Appointment_Date]],"mmm-yyyy")</f>
        <v>Nov-2025</v>
      </c>
      <c r="J846" s="3">
        <v>45838</v>
      </c>
      <c r="K846" t="s">
        <v>1699</v>
      </c>
      <c r="L846" t="s">
        <v>19</v>
      </c>
      <c r="M846" s="4">
        <v>86.24</v>
      </c>
      <c r="N846" t="s">
        <v>24</v>
      </c>
      <c r="O846">
        <f>Patient_data[[#This Row],[Appointment_Date]]-Patient_data[[#This Row],[Booking_Date]]</f>
        <v>135</v>
      </c>
    </row>
    <row r="847" spans="1:15" x14ac:dyDescent="0.25">
      <c r="A847">
        <v>1028</v>
      </c>
      <c r="B847">
        <v>21</v>
      </c>
      <c r="C847" t="s">
        <v>1445</v>
      </c>
      <c r="D847" t="s">
        <v>1700</v>
      </c>
      <c r="E847" t="s">
        <v>28</v>
      </c>
      <c r="F847" s="3">
        <v>45968</v>
      </c>
      <c r="G847" s="1">
        <f>YEAR(Patient_data[[#This Row],[Appointment_Date]])</f>
        <v>2025</v>
      </c>
      <c r="H847" s="2" t="str">
        <f>TEXT(Patient_data[[#This Row],[Appointment_Date]],"mmmm")</f>
        <v>November</v>
      </c>
      <c r="I847" s="3" t="str">
        <f>TEXT(Patient_data[[#This Row],[Appointment_Date]],"mmm-yyyy")</f>
        <v>Nov-2025</v>
      </c>
      <c r="J847" s="3">
        <v>45865</v>
      </c>
      <c r="K847" t="s">
        <v>1701</v>
      </c>
      <c r="L847" t="s">
        <v>19</v>
      </c>
      <c r="M847" s="4">
        <v>11.92</v>
      </c>
      <c r="N847" t="s">
        <v>20</v>
      </c>
      <c r="O847">
        <f>Patient_data[[#This Row],[Appointment_Date]]-Patient_data[[#This Row],[Booking_Date]]</f>
        <v>103</v>
      </c>
    </row>
    <row r="848" spans="1:15" x14ac:dyDescent="0.25">
      <c r="A848">
        <v>1010</v>
      </c>
      <c r="B848">
        <v>21</v>
      </c>
      <c r="C848" t="s">
        <v>1445</v>
      </c>
      <c r="D848" t="s">
        <v>1702</v>
      </c>
      <c r="E848" t="s">
        <v>28</v>
      </c>
      <c r="F848" s="3">
        <v>46065</v>
      </c>
      <c r="G848" s="1">
        <f>YEAR(Patient_data[[#This Row],[Appointment_Date]])</f>
        <v>2026</v>
      </c>
      <c r="H848" s="2" t="str">
        <f>TEXT(Patient_data[[#This Row],[Appointment_Date]],"mmmm")</f>
        <v>February</v>
      </c>
      <c r="I848" s="3" t="str">
        <f>TEXT(Patient_data[[#This Row],[Appointment_Date]],"mmm-yyyy")</f>
        <v>Feb-2026</v>
      </c>
      <c r="J848" s="3">
        <v>45695</v>
      </c>
      <c r="K848" t="s">
        <v>1703</v>
      </c>
      <c r="L848" t="s">
        <v>19</v>
      </c>
      <c r="M848" s="4">
        <v>38.590000000000003</v>
      </c>
      <c r="N848" t="s">
        <v>24</v>
      </c>
      <c r="O848">
        <f>Patient_data[[#This Row],[Appointment_Date]]-Patient_data[[#This Row],[Booking_Date]]</f>
        <v>370</v>
      </c>
    </row>
    <row r="849" spans="1:15" x14ac:dyDescent="0.25">
      <c r="A849">
        <v>1044</v>
      </c>
      <c r="B849">
        <v>21</v>
      </c>
      <c r="C849" t="s">
        <v>1445</v>
      </c>
      <c r="D849" t="s">
        <v>1704</v>
      </c>
      <c r="E849" t="s">
        <v>28</v>
      </c>
      <c r="F849" s="3">
        <v>45830</v>
      </c>
      <c r="G849" s="1">
        <f>YEAR(Patient_data[[#This Row],[Appointment_Date]])</f>
        <v>2025</v>
      </c>
      <c r="H849" s="2" t="str">
        <f>TEXT(Patient_data[[#This Row],[Appointment_Date]],"mmmm")</f>
        <v>June</v>
      </c>
      <c r="I849" s="3" t="str">
        <f>TEXT(Patient_data[[#This Row],[Appointment_Date]],"mmm-yyyy")</f>
        <v>Jun-2025</v>
      </c>
      <c r="J849" s="3">
        <v>45452</v>
      </c>
      <c r="K849" t="s">
        <v>1705</v>
      </c>
      <c r="L849" t="s">
        <v>43</v>
      </c>
      <c r="M849" s="4">
        <v>5.31</v>
      </c>
      <c r="N849" t="s">
        <v>20</v>
      </c>
      <c r="O849">
        <f>Patient_data[[#This Row],[Appointment_Date]]-Patient_data[[#This Row],[Booking_Date]]</f>
        <v>378</v>
      </c>
    </row>
    <row r="850" spans="1:15" x14ac:dyDescent="0.25">
      <c r="A850">
        <v>1076</v>
      </c>
      <c r="B850">
        <v>21</v>
      </c>
      <c r="C850" t="s">
        <v>1445</v>
      </c>
      <c r="D850" t="s">
        <v>1706</v>
      </c>
      <c r="E850" t="s">
        <v>28</v>
      </c>
      <c r="F850" s="3">
        <v>45949</v>
      </c>
      <c r="G850" s="1">
        <f>YEAR(Patient_data[[#This Row],[Appointment_Date]])</f>
        <v>2025</v>
      </c>
      <c r="H850" s="2" t="str">
        <f>TEXT(Patient_data[[#This Row],[Appointment_Date]],"mmmm")</f>
        <v>October</v>
      </c>
      <c r="I850" s="3" t="str">
        <f>TEXT(Patient_data[[#This Row],[Appointment_Date]],"mmm-yyyy")</f>
        <v>Oct-2025</v>
      </c>
      <c r="J850" s="3">
        <v>45871</v>
      </c>
      <c r="K850" t="s">
        <v>1707</v>
      </c>
      <c r="L850" t="s">
        <v>43</v>
      </c>
      <c r="M850" s="4">
        <v>330.43</v>
      </c>
      <c r="N850" t="s">
        <v>24</v>
      </c>
      <c r="O850">
        <f>Patient_data[[#This Row],[Appointment_Date]]-Patient_data[[#This Row],[Booking_Date]]</f>
        <v>78</v>
      </c>
    </row>
    <row r="851" spans="1:15" x14ac:dyDescent="0.25">
      <c r="A851">
        <v>1083</v>
      </c>
      <c r="B851">
        <v>21</v>
      </c>
      <c r="C851" t="s">
        <v>1445</v>
      </c>
      <c r="D851" t="s">
        <v>1708</v>
      </c>
      <c r="E851" t="s">
        <v>17</v>
      </c>
      <c r="F851" s="3">
        <v>45887</v>
      </c>
      <c r="G851" s="1">
        <f>YEAR(Patient_data[[#This Row],[Appointment_Date]])</f>
        <v>2025</v>
      </c>
      <c r="H851" s="2" t="str">
        <f>TEXT(Patient_data[[#This Row],[Appointment_Date]],"mmmm")</f>
        <v>August</v>
      </c>
      <c r="I851" s="3" t="str">
        <f>TEXT(Patient_data[[#This Row],[Appointment_Date]],"mmm-yyyy")</f>
        <v>Aug-2025</v>
      </c>
      <c r="J851" s="3">
        <v>45496</v>
      </c>
      <c r="K851" t="s">
        <v>1709</v>
      </c>
      <c r="L851" t="s">
        <v>30</v>
      </c>
      <c r="M851" s="4">
        <v>6.21</v>
      </c>
      <c r="N851" t="s">
        <v>24</v>
      </c>
      <c r="O851">
        <f>Patient_data[[#This Row],[Appointment_Date]]-Patient_data[[#This Row],[Booking_Date]]</f>
        <v>391</v>
      </c>
    </row>
    <row r="852" spans="1:15" x14ac:dyDescent="0.25">
      <c r="A852">
        <v>1015</v>
      </c>
      <c r="B852">
        <v>21</v>
      </c>
      <c r="C852" t="s">
        <v>1445</v>
      </c>
      <c r="D852" t="s">
        <v>1710</v>
      </c>
      <c r="E852" t="s">
        <v>28</v>
      </c>
      <c r="F852" s="3">
        <v>45998</v>
      </c>
      <c r="G852" s="1">
        <f>YEAR(Patient_data[[#This Row],[Appointment_Date]])</f>
        <v>2025</v>
      </c>
      <c r="H852" s="2" t="str">
        <f>TEXT(Patient_data[[#This Row],[Appointment_Date]],"mmmm")</f>
        <v>December</v>
      </c>
      <c r="I852" s="3" t="str">
        <f>TEXT(Patient_data[[#This Row],[Appointment_Date]],"mmm-yyyy")</f>
        <v>Dec-2025</v>
      </c>
      <c r="J852" s="3">
        <v>45716</v>
      </c>
      <c r="K852" t="s">
        <v>1711</v>
      </c>
      <c r="L852" t="s">
        <v>43</v>
      </c>
      <c r="M852" s="4">
        <v>129.91</v>
      </c>
      <c r="N852" t="s">
        <v>24</v>
      </c>
      <c r="O852">
        <f>Patient_data[[#This Row],[Appointment_Date]]-Patient_data[[#This Row],[Booking_Date]]</f>
        <v>282</v>
      </c>
    </row>
    <row r="853" spans="1:15" x14ac:dyDescent="0.25">
      <c r="A853">
        <v>1058</v>
      </c>
      <c r="B853">
        <v>21</v>
      </c>
      <c r="C853" t="s">
        <v>1445</v>
      </c>
      <c r="D853" t="s">
        <v>1712</v>
      </c>
      <c r="E853" t="s">
        <v>17</v>
      </c>
      <c r="F853" s="3">
        <v>45916</v>
      </c>
      <c r="G853" s="1">
        <f>YEAR(Patient_data[[#This Row],[Appointment_Date]])</f>
        <v>2025</v>
      </c>
      <c r="H853" s="2" t="str">
        <f>TEXT(Patient_data[[#This Row],[Appointment_Date]],"mmmm")</f>
        <v>September</v>
      </c>
      <c r="I853" s="3" t="str">
        <f>TEXT(Patient_data[[#This Row],[Appointment_Date]],"mmm-yyyy")</f>
        <v>Sep-2025</v>
      </c>
      <c r="J853" s="3">
        <v>45739</v>
      </c>
      <c r="K853" t="s">
        <v>1713</v>
      </c>
      <c r="L853" t="s">
        <v>30</v>
      </c>
      <c r="M853" s="4">
        <v>22.2</v>
      </c>
      <c r="N853" t="s">
        <v>20</v>
      </c>
      <c r="O853">
        <f>Patient_data[[#This Row],[Appointment_Date]]-Patient_data[[#This Row],[Booking_Date]]</f>
        <v>177</v>
      </c>
    </row>
    <row r="854" spans="1:15" x14ac:dyDescent="0.25">
      <c r="A854">
        <v>1088</v>
      </c>
      <c r="B854">
        <v>21</v>
      </c>
      <c r="C854" t="s">
        <v>1445</v>
      </c>
      <c r="D854" t="s">
        <v>1714</v>
      </c>
      <c r="E854" t="s">
        <v>17</v>
      </c>
      <c r="F854" s="3">
        <v>45973</v>
      </c>
      <c r="G854" s="1">
        <f>YEAR(Patient_data[[#This Row],[Appointment_Date]])</f>
        <v>2025</v>
      </c>
      <c r="H854" s="2" t="str">
        <f>TEXT(Patient_data[[#This Row],[Appointment_Date]],"mmmm")</f>
        <v>November</v>
      </c>
      <c r="I854" s="3" t="str">
        <f>TEXT(Patient_data[[#This Row],[Appointment_Date]],"mmm-yyyy")</f>
        <v>Nov-2025</v>
      </c>
      <c r="J854" s="3">
        <v>45769</v>
      </c>
      <c r="K854" t="s">
        <v>1715</v>
      </c>
      <c r="L854" t="s">
        <v>19</v>
      </c>
      <c r="M854" s="4">
        <v>1.38</v>
      </c>
      <c r="N854" t="s">
        <v>20</v>
      </c>
      <c r="O854">
        <f>Patient_data[[#This Row],[Appointment_Date]]-Patient_data[[#This Row],[Booking_Date]]</f>
        <v>204</v>
      </c>
    </row>
    <row r="855" spans="1:15" x14ac:dyDescent="0.25">
      <c r="A855">
        <v>1044</v>
      </c>
      <c r="B855">
        <v>21</v>
      </c>
      <c r="C855" t="s">
        <v>1445</v>
      </c>
      <c r="D855" t="s">
        <v>1716</v>
      </c>
      <c r="E855" t="s">
        <v>28</v>
      </c>
      <c r="F855" s="3">
        <v>45765</v>
      </c>
      <c r="G855" s="1">
        <f>YEAR(Patient_data[[#This Row],[Appointment_Date]])</f>
        <v>2025</v>
      </c>
      <c r="H855" s="2" t="str">
        <f>TEXT(Patient_data[[#This Row],[Appointment_Date]],"mmmm")</f>
        <v>April</v>
      </c>
      <c r="I855" s="3" t="str">
        <f>TEXT(Patient_data[[#This Row],[Appointment_Date]],"mmm-yyyy")</f>
        <v>Apr-2025</v>
      </c>
      <c r="J855" s="3">
        <v>45559</v>
      </c>
      <c r="K855" t="s">
        <v>1717</v>
      </c>
      <c r="L855" t="s">
        <v>23</v>
      </c>
      <c r="M855" s="4">
        <v>56.1</v>
      </c>
      <c r="N855" t="s">
        <v>24</v>
      </c>
      <c r="O855">
        <f>Patient_data[[#This Row],[Appointment_Date]]-Patient_data[[#This Row],[Booking_Date]]</f>
        <v>206</v>
      </c>
    </row>
    <row r="856" spans="1:15" x14ac:dyDescent="0.25">
      <c r="A856">
        <v>1050</v>
      </c>
      <c r="B856">
        <v>21</v>
      </c>
      <c r="C856" t="s">
        <v>1445</v>
      </c>
      <c r="D856" t="s">
        <v>1718</v>
      </c>
      <c r="E856" t="s">
        <v>17</v>
      </c>
      <c r="F856" s="3">
        <v>45853</v>
      </c>
      <c r="G856" s="1">
        <f>YEAR(Patient_data[[#This Row],[Appointment_Date]])</f>
        <v>2025</v>
      </c>
      <c r="H856" s="2" t="str">
        <f>TEXT(Patient_data[[#This Row],[Appointment_Date]],"mmmm")</f>
        <v>July</v>
      </c>
      <c r="I856" s="3" t="str">
        <f>TEXT(Patient_data[[#This Row],[Appointment_Date]],"mmm-yyyy")</f>
        <v>Jul-2025</v>
      </c>
      <c r="J856" s="3">
        <v>45496</v>
      </c>
      <c r="K856" t="s">
        <v>1719</v>
      </c>
      <c r="L856" t="s">
        <v>19</v>
      </c>
      <c r="M856" s="4">
        <v>86.04</v>
      </c>
      <c r="N856" t="s">
        <v>20</v>
      </c>
      <c r="O856">
        <f>Patient_data[[#This Row],[Appointment_Date]]-Patient_data[[#This Row],[Booking_Date]]</f>
        <v>357</v>
      </c>
    </row>
    <row r="857" spans="1:15" x14ac:dyDescent="0.25">
      <c r="A857">
        <v>1015</v>
      </c>
      <c r="B857">
        <v>21</v>
      </c>
      <c r="C857" t="s">
        <v>1445</v>
      </c>
      <c r="D857" t="s">
        <v>1720</v>
      </c>
      <c r="E857" t="s">
        <v>28</v>
      </c>
      <c r="F857" s="3">
        <v>45842</v>
      </c>
      <c r="G857" s="1">
        <f>YEAR(Patient_data[[#This Row],[Appointment_Date]])</f>
        <v>2025</v>
      </c>
      <c r="H857" s="2" t="str">
        <f>TEXT(Patient_data[[#This Row],[Appointment_Date]],"mmmm")</f>
        <v>July</v>
      </c>
      <c r="I857" s="3" t="str">
        <f>TEXT(Patient_data[[#This Row],[Appointment_Date]],"mmm-yyyy")</f>
        <v>Jul-2025</v>
      </c>
      <c r="J857" s="3">
        <v>45695</v>
      </c>
      <c r="K857" t="s">
        <v>387</v>
      </c>
      <c r="L857" t="s">
        <v>30</v>
      </c>
      <c r="M857" s="4">
        <v>68.33</v>
      </c>
      <c r="N857" t="s">
        <v>20</v>
      </c>
      <c r="O857">
        <f>Patient_data[[#This Row],[Appointment_Date]]-Patient_data[[#This Row],[Booking_Date]]</f>
        <v>147</v>
      </c>
    </row>
    <row r="858" spans="1:15" x14ac:dyDescent="0.25">
      <c r="A858">
        <v>1077</v>
      </c>
      <c r="B858">
        <v>21</v>
      </c>
      <c r="C858" t="s">
        <v>1445</v>
      </c>
      <c r="D858" t="s">
        <v>1721</v>
      </c>
      <c r="E858" t="s">
        <v>28</v>
      </c>
      <c r="F858" s="3">
        <v>45886</v>
      </c>
      <c r="G858" s="1">
        <f>YEAR(Patient_data[[#This Row],[Appointment_Date]])</f>
        <v>2025</v>
      </c>
      <c r="H858" s="2" t="str">
        <f>TEXT(Patient_data[[#This Row],[Appointment_Date]],"mmmm")</f>
        <v>August</v>
      </c>
      <c r="I858" s="3" t="str">
        <f>TEXT(Patient_data[[#This Row],[Appointment_Date]],"mmm-yyyy")</f>
        <v>Aug-2025</v>
      </c>
      <c r="J858" s="3">
        <v>45475</v>
      </c>
      <c r="K858" t="s">
        <v>1722</v>
      </c>
      <c r="L858" t="s">
        <v>43</v>
      </c>
      <c r="M858" s="4">
        <v>15.17</v>
      </c>
      <c r="N858" t="s">
        <v>20</v>
      </c>
      <c r="O858">
        <f>Patient_data[[#This Row],[Appointment_Date]]-Patient_data[[#This Row],[Booking_Date]]</f>
        <v>411</v>
      </c>
    </row>
    <row r="859" spans="1:15" x14ac:dyDescent="0.25">
      <c r="A859">
        <v>1032</v>
      </c>
      <c r="B859">
        <v>21</v>
      </c>
      <c r="C859" t="s">
        <v>1445</v>
      </c>
      <c r="D859" t="s">
        <v>1723</v>
      </c>
      <c r="E859" t="s">
        <v>17</v>
      </c>
      <c r="F859" s="3">
        <v>46061</v>
      </c>
      <c r="G859" s="1">
        <f>YEAR(Patient_data[[#This Row],[Appointment_Date]])</f>
        <v>2026</v>
      </c>
      <c r="H859" s="2" t="str">
        <f>TEXT(Patient_data[[#This Row],[Appointment_Date]],"mmmm")</f>
        <v>February</v>
      </c>
      <c r="I859" s="3" t="str">
        <f>TEXT(Patient_data[[#This Row],[Appointment_Date]],"mmm-yyyy")</f>
        <v>Feb-2026</v>
      </c>
      <c r="J859" s="3">
        <v>45791</v>
      </c>
      <c r="K859" t="s">
        <v>1226</v>
      </c>
      <c r="L859" t="s">
        <v>23</v>
      </c>
      <c r="M859" s="4">
        <v>9.31</v>
      </c>
      <c r="N859" t="s">
        <v>20</v>
      </c>
      <c r="O859">
        <f>Patient_data[[#This Row],[Appointment_Date]]-Patient_data[[#This Row],[Booking_Date]]</f>
        <v>270</v>
      </c>
    </row>
    <row r="860" spans="1:15" x14ac:dyDescent="0.25">
      <c r="A860">
        <v>1080</v>
      </c>
      <c r="B860">
        <v>21</v>
      </c>
      <c r="C860" t="s">
        <v>1445</v>
      </c>
      <c r="D860" t="s">
        <v>1724</v>
      </c>
      <c r="E860" t="s">
        <v>17</v>
      </c>
      <c r="F860" s="3">
        <v>45774</v>
      </c>
      <c r="G860" s="1">
        <f>YEAR(Patient_data[[#This Row],[Appointment_Date]])</f>
        <v>2025</v>
      </c>
      <c r="H860" s="2" t="str">
        <f>TEXT(Patient_data[[#This Row],[Appointment_Date]],"mmmm")</f>
        <v>April</v>
      </c>
      <c r="I860" s="3" t="str">
        <f>TEXT(Patient_data[[#This Row],[Appointment_Date]],"mmm-yyyy")</f>
        <v>Apr-2025</v>
      </c>
      <c r="J860" s="3">
        <v>45729</v>
      </c>
      <c r="K860" t="s">
        <v>1725</v>
      </c>
      <c r="L860" t="s">
        <v>19</v>
      </c>
      <c r="M860" s="4">
        <v>64.430000000000007</v>
      </c>
      <c r="N860" t="s">
        <v>24</v>
      </c>
      <c r="O860">
        <f>Patient_data[[#This Row],[Appointment_Date]]-Patient_data[[#This Row],[Booking_Date]]</f>
        <v>45</v>
      </c>
    </row>
    <row r="861" spans="1:15" x14ac:dyDescent="0.25">
      <c r="A861">
        <v>1093</v>
      </c>
      <c r="B861">
        <v>20</v>
      </c>
      <c r="C861" t="s">
        <v>1445</v>
      </c>
      <c r="D861" t="s">
        <v>1726</v>
      </c>
      <c r="E861" t="s">
        <v>17</v>
      </c>
      <c r="F861" s="3">
        <v>46104</v>
      </c>
      <c r="G861" s="1">
        <f>YEAR(Patient_data[[#This Row],[Appointment_Date]])</f>
        <v>2026</v>
      </c>
      <c r="H861" s="2" t="str">
        <f>TEXT(Patient_data[[#This Row],[Appointment_Date]],"mmmm")</f>
        <v>March</v>
      </c>
      <c r="I861" s="3" t="str">
        <f>TEXT(Patient_data[[#This Row],[Appointment_Date]],"mmm-yyyy")</f>
        <v>Mar-2026</v>
      </c>
      <c r="J861" s="3">
        <v>45821</v>
      </c>
      <c r="K861" t="s">
        <v>1727</v>
      </c>
      <c r="L861" t="s">
        <v>30</v>
      </c>
      <c r="M861" s="4">
        <v>18.84</v>
      </c>
      <c r="N861" t="s">
        <v>24</v>
      </c>
      <c r="O861">
        <f>Patient_data[[#This Row],[Appointment_Date]]-Patient_data[[#This Row],[Booking_Date]]</f>
        <v>283</v>
      </c>
    </row>
    <row r="862" spans="1:15" x14ac:dyDescent="0.25">
      <c r="A862">
        <v>1007</v>
      </c>
      <c r="B862">
        <v>20</v>
      </c>
      <c r="C862" t="s">
        <v>1445</v>
      </c>
      <c r="D862" t="s">
        <v>1728</v>
      </c>
      <c r="E862" t="s">
        <v>17</v>
      </c>
      <c r="F862" s="3">
        <v>45977</v>
      </c>
      <c r="G862" s="1">
        <f>YEAR(Patient_data[[#This Row],[Appointment_Date]])</f>
        <v>2025</v>
      </c>
      <c r="H862" s="2" t="str">
        <f>TEXT(Patient_data[[#This Row],[Appointment_Date]],"mmmm")</f>
        <v>November</v>
      </c>
      <c r="I862" s="3" t="str">
        <f>TEXT(Patient_data[[#This Row],[Appointment_Date]],"mmm-yyyy")</f>
        <v>Nov-2025</v>
      </c>
      <c r="J862" s="3">
        <v>45918</v>
      </c>
      <c r="K862" t="s">
        <v>1729</v>
      </c>
      <c r="L862" t="s">
        <v>23</v>
      </c>
      <c r="M862" s="4">
        <v>82.25</v>
      </c>
      <c r="N862" t="s">
        <v>20</v>
      </c>
      <c r="O862">
        <f>Patient_data[[#This Row],[Appointment_Date]]-Patient_data[[#This Row],[Booking_Date]]</f>
        <v>59</v>
      </c>
    </row>
    <row r="863" spans="1:15" x14ac:dyDescent="0.25">
      <c r="A863">
        <v>1091</v>
      </c>
      <c r="B863">
        <v>20</v>
      </c>
      <c r="C863" t="s">
        <v>1445</v>
      </c>
      <c r="D863" t="s">
        <v>141</v>
      </c>
      <c r="E863" t="s">
        <v>17</v>
      </c>
      <c r="F863" s="3">
        <v>45997</v>
      </c>
      <c r="G863" s="1">
        <f>YEAR(Patient_data[[#This Row],[Appointment_Date]])</f>
        <v>2025</v>
      </c>
      <c r="H863" s="2" t="str">
        <f>TEXT(Patient_data[[#This Row],[Appointment_Date]],"mmmm")</f>
        <v>December</v>
      </c>
      <c r="I863" s="3" t="str">
        <f>TEXT(Patient_data[[#This Row],[Appointment_Date]],"mmm-yyyy")</f>
        <v>Dec-2025</v>
      </c>
      <c r="J863" s="3">
        <v>45986</v>
      </c>
      <c r="K863" t="s">
        <v>1730</v>
      </c>
      <c r="L863" t="s">
        <v>23</v>
      </c>
      <c r="M863" s="4">
        <v>70.47</v>
      </c>
      <c r="N863" t="s">
        <v>24</v>
      </c>
      <c r="O863">
        <f>Patient_data[[#This Row],[Appointment_Date]]-Patient_data[[#This Row],[Booking_Date]]</f>
        <v>11</v>
      </c>
    </row>
    <row r="864" spans="1:15" x14ac:dyDescent="0.25">
      <c r="A864">
        <v>1062</v>
      </c>
      <c r="B864">
        <v>20</v>
      </c>
      <c r="C864" t="s">
        <v>1445</v>
      </c>
      <c r="D864" t="s">
        <v>1731</v>
      </c>
      <c r="E864" t="s">
        <v>17</v>
      </c>
      <c r="F864" s="3">
        <v>45823</v>
      </c>
      <c r="G864" s="1">
        <f>YEAR(Patient_data[[#This Row],[Appointment_Date]])</f>
        <v>2025</v>
      </c>
      <c r="H864" s="2" t="str">
        <f>TEXT(Patient_data[[#This Row],[Appointment_Date]],"mmmm")</f>
        <v>June</v>
      </c>
      <c r="I864" s="3" t="str">
        <f>TEXT(Patient_data[[#This Row],[Appointment_Date]],"mmm-yyyy")</f>
        <v>Jun-2025</v>
      </c>
      <c r="J864" s="3">
        <v>45758</v>
      </c>
      <c r="K864" t="s">
        <v>1732</v>
      </c>
      <c r="L864" t="s">
        <v>30</v>
      </c>
      <c r="M864" s="4">
        <v>88.24</v>
      </c>
      <c r="N864" t="s">
        <v>24</v>
      </c>
      <c r="O864">
        <f>Patient_data[[#This Row],[Appointment_Date]]-Patient_data[[#This Row],[Booking_Date]]</f>
        <v>65</v>
      </c>
    </row>
    <row r="865" spans="1:15" x14ac:dyDescent="0.25">
      <c r="A865">
        <v>1036</v>
      </c>
      <c r="B865">
        <v>20</v>
      </c>
      <c r="C865" t="s">
        <v>1445</v>
      </c>
      <c r="D865" t="s">
        <v>1733</v>
      </c>
      <c r="E865" t="s">
        <v>28</v>
      </c>
      <c r="F865" s="3">
        <v>45895</v>
      </c>
      <c r="G865" s="1">
        <f>YEAR(Patient_data[[#This Row],[Appointment_Date]])</f>
        <v>2025</v>
      </c>
      <c r="H865" s="2" t="str">
        <f>TEXT(Patient_data[[#This Row],[Appointment_Date]],"mmmm")</f>
        <v>August</v>
      </c>
      <c r="I865" s="3" t="str">
        <f>TEXT(Patient_data[[#This Row],[Appointment_Date]],"mmm-yyyy")</f>
        <v>Aug-2025</v>
      </c>
      <c r="J865" s="3">
        <v>45666</v>
      </c>
      <c r="K865" t="s">
        <v>1734</v>
      </c>
      <c r="L865" t="s">
        <v>30</v>
      </c>
      <c r="M865" s="4">
        <v>85.97</v>
      </c>
      <c r="N865" t="s">
        <v>20</v>
      </c>
      <c r="O865">
        <f>Patient_data[[#This Row],[Appointment_Date]]-Patient_data[[#This Row],[Booking_Date]]</f>
        <v>229</v>
      </c>
    </row>
    <row r="866" spans="1:15" x14ac:dyDescent="0.25">
      <c r="A866">
        <v>1018</v>
      </c>
      <c r="B866">
        <v>20</v>
      </c>
      <c r="C866" t="s">
        <v>1445</v>
      </c>
      <c r="D866" t="s">
        <v>1735</v>
      </c>
      <c r="E866" t="s">
        <v>28</v>
      </c>
      <c r="F866" s="3">
        <v>45861</v>
      </c>
      <c r="G866" s="1">
        <f>YEAR(Patient_data[[#This Row],[Appointment_Date]])</f>
        <v>2025</v>
      </c>
      <c r="H866" s="2" t="str">
        <f>TEXT(Patient_data[[#This Row],[Appointment_Date]],"mmmm")</f>
        <v>July</v>
      </c>
      <c r="I866" s="3" t="str">
        <f>TEXT(Patient_data[[#This Row],[Appointment_Date]],"mmm-yyyy")</f>
        <v>Jul-2025</v>
      </c>
      <c r="J866" s="3">
        <v>45830</v>
      </c>
      <c r="K866" t="s">
        <v>1736</v>
      </c>
      <c r="L866" t="s">
        <v>19</v>
      </c>
      <c r="M866" s="4">
        <v>38.29</v>
      </c>
      <c r="N866" t="s">
        <v>20</v>
      </c>
      <c r="O866">
        <f>Patient_data[[#This Row],[Appointment_Date]]-Patient_data[[#This Row],[Booking_Date]]</f>
        <v>31</v>
      </c>
    </row>
    <row r="867" spans="1:15" x14ac:dyDescent="0.25">
      <c r="A867">
        <v>1040</v>
      </c>
      <c r="B867">
        <v>20</v>
      </c>
      <c r="C867" t="s">
        <v>1445</v>
      </c>
      <c r="D867" t="s">
        <v>1737</v>
      </c>
      <c r="E867" t="s">
        <v>28</v>
      </c>
      <c r="F867" s="3">
        <v>45983</v>
      </c>
      <c r="G867" s="1">
        <f>YEAR(Patient_data[[#This Row],[Appointment_Date]])</f>
        <v>2025</v>
      </c>
      <c r="H867" s="2" t="str">
        <f>TEXT(Patient_data[[#This Row],[Appointment_Date]],"mmmm")</f>
        <v>November</v>
      </c>
      <c r="I867" s="3" t="str">
        <f>TEXT(Patient_data[[#This Row],[Appointment_Date]],"mmm-yyyy")</f>
        <v>Nov-2025</v>
      </c>
      <c r="J867" s="3">
        <v>45753</v>
      </c>
      <c r="K867" t="s">
        <v>1738</v>
      </c>
      <c r="L867" t="s">
        <v>30</v>
      </c>
      <c r="M867" s="4">
        <v>57.17</v>
      </c>
      <c r="N867" t="s">
        <v>20</v>
      </c>
      <c r="O867">
        <f>Patient_data[[#This Row],[Appointment_Date]]-Patient_data[[#This Row],[Booking_Date]]</f>
        <v>230</v>
      </c>
    </row>
    <row r="868" spans="1:15" x14ac:dyDescent="0.25">
      <c r="A868">
        <v>1024</v>
      </c>
      <c r="B868">
        <v>20</v>
      </c>
      <c r="C868" t="s">
        <v>1445</v>
      </c>
      <c r="D868" t="s">
        <v>1739</v>
      </c>
      <c r="E868" t="s">
        <v>17</v>
      </c>
      <c r="F868" s="3">
        <v>45977</v>
      </c>
      <c r="G868" s="1">
        <f>YEAR(Patient_data[[#This Row],[Appointment_Date]])</f>
        <v>2025</v>
      </c>
      <c r="H868" s="2" t="str">
        <f>TEXT(Patient_data[[#This Row],[Appointment_Date]],"mmmm")</f>
        <v>November</v>
      </c>
      <c r="I868" s="3" t="str">
        <f>TEXT(Patient_data[[#This Row],[Appointment_Date]],"mmm-yyyy")</f>
        <v>Nov-2025</v>
      </c>
      <c r="J868" s="3">
        <v>45615</v>
      </c>
      <c r="K868" t="s">
        <v>1740</v>
      </c>
      <c r="L868" t="s">
        <v>23</v>
      </c>
      <c r="M868" s="4">
        <v>90.44</v>
      </c>
      <c r="N868" t="s">
        <v>20</v>
      </c>
      <c r="O868">
        <f>Patient_data[[#This Row],[Appointment_Date]]-Patient_data[[#This Row],[Booking_Date]]</f>
        <v>362</v>
      </c>
    </row>
    <row r="869" spans="1:15" x14ac:dyDescent="0.25">
      <c r="A869">
        <v>1069</v>
      </c>
      <c r="B869">
        <v>20</v>
      </c>
      <c r="C869" t="s">
        <v>1445</v>
      </c>
      <c r="D869" t="s">
        <v>1741</v>
      </c>
      <c r="E869" t="s">
        <v>28</v>
      </c>
      <c r="F869" s="3">
        <v>45778</v>
      </c>
      <c r="G869" s="1">
        <f>YEAR(Patient_data[[#This Row],[Appointment_Date]])</f>
        <v>2025</v>
      </c>
      <c r="H869" s="2" t="str">
        <f>TEXT(Patient_data[[#This Row],[Appointment_Date]],"mmmm")</f>
        <v>May</v>
      </c>
      <c r="I869" s="3" t="str">
        <f>TEXT(Patient_data[[#This Row],[Appointment_Date]],"mmm-yyyy")</f>
        <v>May-2025</v>
      </c>
      <c r="J869" s="3">
        <v>45775</v>
      </c>
      <c r="K869" t="s">
        <v>1742</v>
      </c>
      <c r="L869" t="s">
        <v>43</v>
      </c>
      <c r="M869" s="4">
        <v>4.82</v>
      </c>
      <c r="N869" t="s">
        <v>20</v>
      </c>
      <c r="O869">
        <f>Patient_data[[#This Row],[Appointment_Date]]-Patient_data[[#This Row],[Booking_Date]]</f>
        <v>3</v>
      </c>
    </row>
    <row r="870" spans="1:15" x14ac:dyDescent="0.25">
      <c r="A870">
        <v>1089</v>
      </c>
      <c r="B870">
        <v>20</v>
      </c>
      <c r="C870" t="s">
        <v>1445</v>
      </c>
      <c r="D870" t="s">
        <v>1743</v>
      </c>
      <c r="E870" t="s">
        <v>28</v>
      </c>
      <c r="F870" s="3">
        <v>45933</v>
      </c>
      <c r="G870" s="1">
        <f>YEAR(Patient_data[[#This Row],[Appointment_Date]])</f>
        <v>2025</v>
      </c>
      <c r="H870" s="2" t="str">
        <f>TEXT(Patient_data[[#This Row],[Appointment_Date]],"mmmm")</f>
        <v>October</v>
      </c>
      <c r="I870" s="3" t="str">
        <f>TEXT(Patient_data[[#This Row],[Appointment_Date]],"mmm-yyyy")</f>
        <v>Oct-2025</v>
      </c>
      <c r="J870" s="3">
        <v>45868</v>
      </c>
      <c r="K870" t="s">
        <v>1744</v>
      </c>
      <c r="L870" t="s">
        <v>19</v>
      </c>
      <c r="M870" s="4">
        <v>7.05</v>
      </c>
      <c r="N870" t="s">
        <v>20</v>
      </c>
      <c r="O870">
        <f>Patient_data[[#This Row],[Appointment_Date]]-Patient_data[[#This Row],[Booking_Date]]</f>
        <v>65</v>
      </c>
    </row>
    <row r="871" spans="1:15" x14ac:dyDescent="0.25">
      <c r="A871">
        <v>1049</v>
      </c>
      <c r="B871">
        <v>20</v>
      </c>
      <c r="C871" t="s">
        <v>1445</v>
      </c>
      <c r="D871" t="s">
        <v>1745</v>
      </c>
      <c r="E871" t="s">
        <v>28</v>
      </c>
      <c r="F871" s="3">
        <v>46020</v>
      </c>
      <c r="G871" s="1">
        <f>YEAR(Patient_data[[#This Row],[Appointment_Date]])</f>
        <v>2025</v>
      </c>
      <c r="H871" s="2" t="str">
        <f>TEXT(Patient_data[[#This Row],[Appointment_Date]],"mmmm")</f>
        <v>December</v>
      </c>
      <c r="I871" s="3" t="str">
        <f>TEXT(Patient_data[[#This Row],[Appointment_Date]],"mmm-yyyy")</f>
        <v>Dec-2025</v>
      </c>
      <c r="J871" s="3">
        <v>45831</v>
      </c>
      <c r="K871" t="s">
        <v>1746</v>
      </c>
      <c r="L871" t="s">
        <v>23</v>
      </c>
      <c r="M871" s="4">
        <v>184.38</v>
      </c>
      <c r="N871" t="s">
        <v>20</v>
      </c>
      <c r="O871">
        <f>Patient_data[[#This Row],[Appointment_Date]]-Patient_data[[#This Row],[Booking_Date]]</f>
        <v>189</v>
      </c>
    </row>
    <row r="872" spans="1:15" x14ac:dyDescent="0.25">
      <c r="A872">
        <v>1074</v>
      </c>
      <c r="B872">
        <v>19</v>
      </c>
      <c r="C872" t="s">
        <v>1445</v>
      </c>
      <c r="D872" t="s">
        <v>1747</v>
      </c>
      <c r="E872" t="s">
        <v>28</v>
      </c>
      <c r="F872" s="3">
        <v>45771</v>
      </c>
      <c r="G872" s="1">
        <f>YEAR(Patient_data[[#This Row],[Appointment_Date]])</f>
        <v>2025</v>
      </c>
      <c r="H872" s="2" t="str">
        <f>TEXT(Patient_data[[#This Row],[Appointment_Date]],"mmmm")</f>
        <v>April</v>
      </c>
      <c r="I872" s="3" t="str">
        <f>TEXT(Patient_data[[#This Row],[Appointment_Date]],"mmm-yyyy")</f>
        <v>Apr-2025</v>
      </c>
      <c r="J872" s="3">
        <v>45573</v>
      </c>
      <c r="K872" t="s">
        <v>1748</v>
      </c>
      <c r="L872" t="s">
        <v>19</v>
      </c>
      <c r="M872" s="4">
        <v>55.75</v>
      </c>
      <c r="N872" t="s">
        <v>20</v>
      </c>
      <c r="O872">
        <f>Patient_data[[#This Row],[Appointment_Date]]-Patient_data[[#This Row],[Booking_Date]]</f>
        <v>198</v>
      </c>
    </row>
    <row r="873" spans="1:15" x14ac:dyDescent="0.25">
      <c r="A873">
        <v>1038</v>
      </c>
      <c r="B873">
        <v>19</v>
      </c>
      <c r="C873" t="s">
        <v>1445</v>
      </c>
      <c r="D873" t="s">
        <v>1749</v>
      </c>
      <c r="E873" t="s">
        <v>28</v>
      </c>
      <c r="F873" s="3">
        <v>45747</v>
      </c>
      <c r="G873" s="1">
        <f>YEAR(Patient_data[[#This Row],[Appointment_Date]])</f>
        <v>2025</v>
      </c>
      <c r="H873" s="2" t="str">
        <f>TEXT(Patient_data[[#This Row],[Appointment_Date]],"mmmm")</f>
        <v>March</v>
      </c>
      <c r="I873" s="3" t="str">
        <f>TEXT(Patient_data[[#This Row],[Appointment_Date]],"mmm-yyyy")</f>
        <v>Mar-2025</v>
      </c>
      <c r="J873" s="3">
        <v>45592</v>
      </c>
      <c r="K873" t="s">
        <v>1144</v>
      </c>
      <c r="L873" t="s">
        <v>30</v>
      </c>
      <c r="M873" s="4">
        <v>96.7</v>
      </c>
      <c r="N873" t="s">
        <v>20</v>
      </c>
      <c r="O873">
        <f>Patient_data[[#This Row],[Appointment_Date]]-Patient_data[[#This Row],[Booking_Date]]</f>
        <v>155</v>
      </c>
    </row>
    <row r="874" spans="1:15" x14ac:dyDescent="0.25">
      <c r="A874">
        <v>1058</v>
      </c>
      <c r="B874">
        <v>19</v>
      </c>
      <c r="C874" t="s">
        <v>1445</v>
      </c>
      <c r="D874" t="s">
        <v>1750</v>
      </c>
      <c r="E874" t="s">
        <v>28</v>
      </c>
      <c r="F874" s="3">
        <v>45788</v>
      </c>
      <c r="G874" s="1">
        <f>YEAR(Patient_data[[#This Row],[Appointment_Date]])</f>
        <v>2025</v>
      </c>
      <c r="H874" s="2" t="str">
        <f>TEXT(Patient_data[[#This Row],[Appointment_Date]],"mmmm")</f>
        <v>May</v>
      </c>
      <c r="I874" s="3" t="str">
        <f>TEXT(Patient_data[[#This Row],[Appointment_Date]],"mmm-yyyy")</f>
        <v>May-2025</v>
      </c>
      <c r="J874" s="3">
        <v>45749</v>
      </c>
      <c r="K874" t="s">
        <v>1751</v>
      </c>
      <c r="L874" t="s">
        <v>19</v>
      </c>
      <c r="M874" s="4">
        <v>16.690000000000001</v>
      </c>
      <c r="N874" t="s">
        <v>24</v>
      </c>
      <c r="O874">
        <f>Patient_data[[#This Row],[Appointment_Date]]-Patient_data[[#This Row],[Booking_Date]]</f>
        <v>39</v>
      </c>
    </row>
    <row r="875" spans="1:15" x14ac:dyDescent="0.25">
      <c r="A875">
        <v>1022</v>
      </c>
      <c r="B875">
        <v>19</v>
      </c>
      <c r="C875" t="s">
        <v>1445</v>
      </c>
      <c r="D875" t="s">
        <v>1752</v>
      </c>
      <c r="E875" t="s">
        <v>28</v>
      </c>
      <c r="F875" s="3">
        <v>45949</v>
      </c>
      <c r="G875" s="1">
        <f>YEAR(Patient_data[[#This Row],[Appointment_Date]])</f>
        <v>2025</v>
      </c>
      <c r="H875" s="2" t="str">
        <f>TEXT(Patient_data[[#This Row],[Appointment_Date]],"mmmm")</f>
        <v>October</v>
      </c>
      <c r="I875" s="3" t="str">
        <f>TEXT(Patient_data[[#This Row],[Appointment_Date]],"mmm-yyyy")</f>
        <v>Oct-2025</v>
      </c>
      <c r="J875" s="3">
        <v>45919</v>
      </c>
      <c r="K875" t="s">
        <v>1753</v>
      </c>
      <c r="L875" t="s">
        <v>43</v>
      </c>
      <c r="M875" s="4">
        <v>45.75</v>
      </c>
      <c r="N875" t="s">
        <v>24</v>
      </c>
      <c r="O875">
        <f>Patient_data[[#This Row],[Appointment_Date]]-Patient_data[[#This Row],[Booking_Date]]</f>
        <v>30</v>
      </c>
    </row>
    <row r="876" spans="1:15" x14ac:dyDescent="0.25">
      <c r="A876">
        <v>1038</v>
      </c>
      <c r="B876">
        <v>19</v>
      </c>
      <c r="C876" t="s">
        <v>1445</v>
      </c>
      <c r="D876" t="s">
        <v>1754</v>
      </c>
      <c r="E876" t="s">
        <v>28</v>
      </c>
      <c r="F876" s="3">
        <v>45790</v>
      </c>
      <c r="G876" s="1">
        <f>YEAR(Patient_data[[#This Row],[Appointment_Date]])</f>
        <v>2025</v>
      </c>
      <c r="H876" s="2" t="str">
        <f>TEXT(Patient_data[[#This Row],[Appointment_Date]],"mmmm")</f>
        <v>May</v>
      </c>
      <c r="I876" s="3" t="str">
        <f>TEXT(Patient_data[[#This Row],[Appointment_Date]],"mmm-yyyy")</f>
        <v>May-2025</v>
      </c>
      <c r="J876" s="3">
        <v>45491</v>
      </c>
      <c r="K876" t="s">
        <v>1755</v>
      </c>
      <c r="L876" t="s">
        <v>30</v>
      </c>
      <c r="M876" s="4">
        <v>350.5</v>
      </c>
      <c r="N876" t="s">
        <v>24</v>
      </c>
      <c r="O876">
        <f>Patient_data[[#This Row],[Appointment_Date]]-Patient_data[[#This Row],[Booking_Date]]</f>
        <v>299</v>
      </c>
    </row>
    <row r="877" spans="1:15" x14ac:dyDescent="0.25">
      <c r="A877">
        <v>1076</v>
      </c>
      <c r="B877">
        <v>19</v>
      </c>
      <c r="C877" t="s">
        <v>1445</v>
      </c>
      <c r="D877" t="s">
        <v>1756</v>
      </c>
      <c r="E877" t="s">
        <v>17</v>
      </c>
      <c r="F877" s="3">
        <v>46075</v>
      </c>
      <c r="G877" s="1">
        <f>YEAR(Patient_data[[#This Row],[Appointment_Date]])</f>
        <v>2026</v>
      </c>
      <c r="H877" s="2" t="str">
        <f>TEXT(Patient_data[[#This Row],[Appointment_Date]],"mmmm")</f>
        <v>February</v>
      </c>
      <c r="I877" s="3" t="str">
        <f>TEXT(Patient_data[[#This Row],[Appointment_Date]],"mmm-yyyy")</f>
        <v>Feb-2026</v>
      </c>
      <c r="J877" s="3">
        <v>45820</v>
      </c>
      <c r="K877" t="s">
        <v>1757</v>
      </c>
      <c r="L877" t="s">
        <v>43</v>
      </c>
      <c r="M877" s="4">
        <v>45.97</v>
      </c>
      <c r="N877" t="s">
        <v>24</v>
      </c>
      <c r="O877">
        <f>Patient_data[[#This Row],[Appointment_Date]]-Patient_data[[#This Row],[Booking_Date]]</f>
        <v>255</v>
      </c>
    </row>
    <row r="878" spans="1:15" x14ac:dyDescent="0.25">
      <c r="A878">
        <v>1032</v>
      </c>
      <c r="B878">
        <v>19</v>
      </c>
      <c r="C878" t="s">
        <v>1445</v>
      </c>
      <c r="D878" t="s">
        <v>1758</v>
      </c>
      <c r="E878" t="s">
        <v>17</v>
      </c>
      <c r="F878" s="3">
        <v>45907</v>
      </c>
      <c r="G878" s="1">
        <f>YEAR(Patient_data[[#This Row],[Appointment_Date]])</f>
        <v>2025</v>
      </c>
      <c r="H878" s="2" t="str">
        <f>TEXT(Patient_data[[#This Row],[Appointment_Date]],"mmmm")</f>
        <v>September</v>
      </c>
      <c r="I878" s="3" t="str">
        <f>TEXT(Patient_data[[#This Row],[Appointment_Date]],"mmm-yyyy")</f>
        <v>Sep-2025</v>
      </c>
      <c r="J878" s="3">
        <v>45442</v>
      </c>
      <c r="K878" t="s">
        <v>1759</v>
      </c>
      <c r="L878" t="s">
        <v>30</v>
      </c>
      <c r="M878" s="4">
        <v>48.78</v>
      </c>
      <c r="N878" t="s">
        <v>24</v>
      </c>
      <c r="O878">
        <f>Patient_data[[#This Row],[Appointment_Date]]-Patient_data[[#This Row],[Booking_Date]]</f>
        <v>465</v>
      </c>
    </row>
    <row r="879" spans="1:15" x14ac:dyDescent="0.25">
      <c r="A879">
        <v>1088</v>
      </c>
      <c r="B879">
        <v>19</v>
      </c>
      <c r="C879" t="s">
        <v>1445</v>
      </c>
      <c r="D879" t="s">
        <v>1760</v>
      </c>
      <c r="E879" t="s">
        <v>28</v>
      </c>
      <c r="F879" s="3">
        <v>45861</v>
      </c>
      <c r="G879" s="1">
        <f>YEAR(Patient_data[[#This Row],[Appointment_Date]])</f>
        <v>2025</v>
      </c>
      <c r="H879" s="2" t="str">
        <f>TEXT(Patient_data[[#This Row],[Appointment_Date]],"mmmm")</f>
        <v>July</v>
      </c>
      <c r="I879" s="3" t="str">
        <f>TEXT(Patient_data[[#This Row],[Appointment_Date]],"mmm-yyyy")</f>
        <v>Jul-2025</v>
      </c>
      <c r="J879" s="3">
        <v>45775</v>
      </c>
      <c r="K879" t="s">
        <v>1492</v>
      </c>
      <c r="L879" t="s">
        <v>23</v>
      </c>
      <c r="M879" s="4">
        <v>6.78</v>
      </c>
      <c r="N879" t="s">
        <v>20</v>
      </c>
      <c r="O879">
        <f>Patient_data[[#This Row],[Appointment_Date]]-Patient_data[[#This Row],[Booking_Date]]</f>
        <v>86</v>
      </c>
    </row>
    <row r="880" spans="1:15" x14ac:dyDescent="0.25">
      <c r="A880">
        <v>1068</v>
      </c>
      <c r="B880">
        <v>19</v>
      </c>
      <c r="C880" t="s">
        <v>1445</v>
      </c>
      <c r="D880" t="s">
        <v>1761</v>
      </c>
      <c r="E880" t="s">
        <v>17</v>
      </c>
      <c r="F880" s="3">
        <v>46048</v>
      </c>
      <c r="G880" s="1">
        <f>YEAR(Patient_data[[#This Row],[Appointment_Date]])</f>
        <v>2026</v>
      </c>
      <c r="H880" s="2" t="str">
        <f>TEXT(Patient_data[[#This Row],[Appointment_Date]],"mmmm")</f>
        <v>January</v>
      </c>
      <c r="I880" s="3" t="str">
        <f>TEXT(Patient_data[[#This Row],[Appointment_Date]],"mmm-yyyy")</f>
        <v>Jan-2026</v>
      </c>
      <c r="J880" s="3">
        <v>45624</v>
      </c>
      <c r="K880" t="s">
        <v>1762</v>
      </c>
      <c r="L880" t="s">
        <v>23</v>
      </c>
      <c r="M880" s="4">
        <v>377.38</v>
      </c>
      <c r="N880" t="s">
        <v>24</v>
      </c>
      <c r="O880">
        <f>Patient_data[[#This Row],[Appointment_Date]]-Patient_data[[#This Row],[Booking_Date]]</f>
        <v>424</v>
      </c>
    </row>
    <row r="881" spans="1:15" x14ac:dyDescent="0.25">
      <c r="A881">
        <v>1030</v>
      </c>
      <c r="B881">
        <v>18</v>
      </c>
      <c r="C881" t="s">
        <v>1445</v>
      </c>
      <c r="D881" t="s">
        <v>1763</v>
      </c>
      <c r="E881" t="s">
        <v>17</v>
      </c>
      <c r="F881" s="3">
        <v>45911</v>
      </c>
      <c r="G881" s="1">
        <f>YEAR(Patient_data[[#This Row],[Appointment_Date]])</f>
        <v>2025</v>
      </c>
      <c r="H881" s="2" t="str">
        <f>TEXT(Patient_data[[#This Row],[Appointment_Date]],"mmmm")</f>
        <v>September</v>
      </c>
      <c r="I881" s="3" t="str">
        <f>TEXT(Patient_data[[#This Row],[Appointment_Date]],"mmm-yyyy")</f>
        <v>Sep-2025</v>
      </c>
      <c r="J881" s="3">
        <v>45570</v>
      </c>
      <c r="K881" t="s">
        <v>1764</v>
      </c>
      <c r="L881" t="s">
        <v>43</v>
      </c>
      <c r="M881" s="4">
        <v>208.91</v>
      </c>
      <c r="N881" t="s">
        <v>20</v>
      </c>
      <c r="O881">
        <f>Patient_data[[#This Row],[Appointment_Date]]-Patient_data[[#This Row],[Booking_Date]]</f>
        <v>341</v>
      </c>
    </row>
    <row r="882" spans="1:15" x14ac:dyDescent="0.25">
      <c r="A882">
        <v>1058</v>
      </c>
      <c r="B882">
        <v>18</v>
      </c>
      <c r="C882" t="s">
        <v>1445</v>
      </c>
      <c r="D882" t="s">
        <v>1765</v>
      </c>
      <c r="E882" t="s">
        <v>28</v>
      </c>
      <c r="F882" s="3">
        <v>46057</v>
      </c>
      <c r="G882" s="1">
        <f>YEAR(Patient_data[[#This Row],[Appointment_Date]])</f>
        <v>2026</v>
      </c>
      <c r="H882" s="2" t="str">
        <f>TEXT(Patient_data[[#This Row],[Appointment_Date]],"mmmm")</f>
        <v>February</v>
      </c>
      <c r="I882" s="3" t="str">
        <f>TEXT(Patient_data[[#This Row],[Appointment_Date]],"mmm-yyyy")</f>
        <v>Feb-2026</v>
      </c>
      <c r="J882" s="3">
        <v>45636</v>
      </c>
      <c r="K882" t="s">
        <v>1766</v>
      </c>
      <c r="L882" t="s">
        <v>23</v>
      </c>
      <c r="M882" s="4">
        <v>28.75</v>
      </c>
      <c r="N882" t="s">
        <v>20</v>
      </c>
      <c r="O882">
        <f>Patient_data[[#This Row],[Appointment_Date]]-Patient_data[[#This Row],[Booking_Date]]</f>
        <v>421</v>
      </c>
    </row>
    <row r="883" spans="1:15" x14ac:dyDescent="0.25">
      <c r="A883">
        <v>1061</v>
      </c>
      <c r="B883">
        <v>18</v>
      </c>
      <c r="C883" t="s">
        <v>1445</v>
      </c>
      <c r="D883" t="s">
        <v>1767</v>
      </c>
      <c r="E883" t="s">
        <v>17</v>
      </c>
      <c r="F883" s="3">
        <v>46103</v>
      </c>
      <c r="G883" s="1">
        <f>YEAR(Patient_data[[#This Row],[Appointment_Date]])</f>
        <v>2026</v>
      </c>
      <c r="H883" s="2" t="str">
        <f>TEXT(Patient_data[[#This Row],[Appointment_Date]],"mmmm")</f>
        <v>March</v>
      </c>
      <c r="I883" s="3" t="str">
        <f>TEXT(Patient_data[[#This Row],[Appointment_Date]],"mmm-yyyy")</f>
        <v>Mar-2026</v>
      </c>
      <c r="J883" s="3">
        <v>45570</v>
      </c>
      <c r="K883" t="s">
        <v>1768</v>
      </c>
      <c r="L883" t="s">
        <v>19</v>
      </c>
      <c r="M883" s="4">
        <v>4.6900000000000004</v>
      </c>
      <c r="N883" t="s">
        <v>20</v>
      </c>
      <c r="O883">
        <f>Patient_data[[#This Row],[Appointment_Date]]-Patient_data[[#This Row],[Booking_Date]]</f>
        <v>533</v>
      </c>
    </row>
    <row r="884" spans="1:15" x14ac:dyDescent="0.25">
      <c r="A884">
        <v>1065</v>
      </c>
      <c r="B884">
        <v>18</v>
      </c>
      <c r="C884" t="s">
        <v>1445</v>
      </c>
      <c r="D884" t="s">
        <v>1769</v>
      </c>
      <c r="E884" t="s">
        <v>17</v>
      </c>
      <c r="F884" s="3">
        <v>45955</v>
      </c>
      <c r="G884" s="1">
        <f>YEAR(Patient_data[[#This Row],[Appointment_Date]])</f>
        <v>2025</v>
      </c>
      <c r="H884" s="2" t="str">
        <f>TEXT(Patient_data[[#This Row],[Appointment_Date]],"mmmm")</f>
        <v>October</v>
      </c>
      <c r="I884" s="3" t="str">
        <f>TEXT(Patient_data[[#This Row],[Appointment_Date]],"mmm-yyyy")</f>
        <v>Oct-2025</v>
      </c>
      <c r="J884" s="3">
        <v>45538</v>
      </c>
      <c r="K884" t="s">
        <v>1770</v>
      </c>
      <c r="L884" t="s">
        <v>19</v>
      </c>
      <c r="M884" s="4">
        <v>283.3</v>
      </c>
      <c r="N884" t="s">
        <v>20</v>
      </c>
      <c r="O884">
        <f>Patient_data[[#This Row],[Appointment_Date]]-Patient_data[[#This Row],[Booking_Date]]</f>
        <v>417</v>
      </c>
    </row>
    <row r="885" spans="1:15" x14ac:dyDescent="0.25">
      <c r="A885">
        <v>1030</v>
      </c>
      <c r="B885">
        <v>18</v>
      </c>
      <c r="C885" t="s">
        <v>1445</v>
      </c>
      <c r="D885" t="s">
        <v>1771</v>
      </c>
      <c r="E885" t="s">
        <v>17</v>
      </c>
      <c r="F885" s="3">
        <v>46079</v>
      </c>
      <c r="G885" s="1">
        <f>YEAR(Patient_data[[#This Row],[Appointment_Date]])</f>
        <v>2026</v>
      </c>
      <c r="H885" s="2" t="str">
        <f>TEXT(Patient_data[[#This Row],[Appointment_Date]],"mmmm")</f>
        <v>February</v>
      </c>
      <c r="I885" s="3" t="str">
        <f>TEXT(Patient_data[[#This Row],[Appointment_Date]],"mmm-yyyy")</f>
        <v>Feb-2026</v>
      </c>
      <c r="J885" s="3">
        <v>45907</v>
      </c>
      <c r="K885" t="s">
        <v>1772</v>
      </c>
      <c r="L885" t="s">
        <v>43</v>
      </c>
      <c r="M885" s="4">
        <v>17.12</v>
      </c>
      <c r="N885" t="s">
        <v>24</v>
      </c>
      <c r="O885">
        <f>Patient_data[[#This Row],[Appointment_Date]]-Patient_data[[#This Row],[Booking_Date]]</f>
        <v>172</v>
      </c>
    </row>
    <row r="886" spans="1:15" x14ac:dyDescent="0.25">
      <c r="A886">
        <v>1024</v>
      </c>
      <c r="B886">
        <v>18</v>
      </c>
      <c r="C886" t="s">
        <v>1445</v>
      </c>
      <c r="D886" t="s">
        <v>1773</v>
      </c>
      <c r="E886" t="s">
        <v>17</v>
      </c>
      <c r="F886" s="3">
        <v>45936</v>
      </c>
      <c r="G886" s="1">
        <f>YEAR(Patient_data[[#This Row],[Appointment_Date]])</f>
        <v>2025</v>
      </c>
      <c r="H886" s="2" t="str">
        <f>TEXT(Patient_data[[#This Row],[Appointment_Date]],"mmmm")</f>
        <v>October</v>
      </c>
      <c r="I886" s="3" t="str">
        <f>TEXT(Patient_data[[#This Row],[Appointment_Date]],"mmm-yyyy")</f>
        <v>Oct-2025</v>
      </c>
      <c r="J886" s="3">
        <v>45624</v>
      </c>
      <c r="K886" t="s">
        <v>1774</v>
      </c>
      <c r="L886" t="s">
        <v>43</v>
      </c>
      <c r="M886" s="4">
        <v>466.56</v>
      </c>
      <c r="N886" t="s">
        <v>20</v>
      </c>
      <c r="O886">
        <f>Patient_data[[#This Row],[Appointment_Date]]-Patient_data[[#This Row],[Booking_Date]]</f>
        <v>312</v>
      </c>
    </row>
    <row r="887" spans="1:15" x14ac:dyDescent="0.25">
      <c r="A887">
        <v>1000</v>
      </c>
      <c r="B887">
        <v>18</v>
      </c>
      <c r="C887" t="s">
        <v>1445</v>
      </c>
      <c r="D887" t="s">
        <v>1775</v>
      </c>
      <c r="E887" t="s">
        <v>17</v>
      </c>
      <c r="F887" s="3">
        <v>45883</v>
      </c>
      <c r="G887" s="1">
        <f>YEAR(Patient_data[[#This Row],[Appointment_Date]])</f>
        <v>2025</v>
      </c>
      <c r="H887" s="2" t="str">
        <f>TEXT(Patient_data[[#This Row],[Appointment_Date]],"mmmm")</f>
        <v>August</v>
      </c>
      <c r="I887" s="3" t="str">
        <f>TEXT(Patient_data[[#This Row],[Appointment_Date]],"mmm-yyyy")</f>
        <v>Aug-2025</v>
      </c>
      <c r="J887" s="3">
        <v>45757</v>
      </c>
      <c r="K887" t="s">
        <v>1776</v>
      </c>
      <c r="L887" t="s">
        <v>43</v>
      </c>
      <c r="M887" s="4">
        <v>362.08</v>
      </c>
      <c r="N887" t="s">
        <v>20</v>
      </c>
      <c r="O887">
        <f>Patient_data[[#This Row],[Appointment_Date]]-Patient_data[[#This Row],[Booking_Date]]</f>
        <v>126</v>
      </c>
    </row>
    <row r="888" spans="1:15" x14ac:dyDescent="0.25">
      <c r="A888">
        <v>1080</v>
      </c>
      <c r="B888">
        <v>18</v>
      </c>
      <c r="C888" t="s">
        <v>1445</v>
      </c>
      <c r="D888" t="s">
        <v>1777</v>
      </c>
      <c r="E888" t="s">
        <v>17</v>
      </c>
      <c r="F888" s="3">
        <v>45812</v>
      </c>
      <c r="G888" s="1">
        <f>YEAR(Patient_data[[#This Row],[Appointment_Date]])</f>
        <v>2025</v>
      </c>
      <c r="H888" s="2" t="str">
        <f>TEXT(Patient_data[[#This Row],[Appointment_Date]],"mmmm")</f>
        <v>June</v>
      </c>
      <c r="I888" s="3" t="str">
        <f>TEXT(Patient_data[[#This Row],[Appointment_Date]],"mmm-yyyy")</f>
        <v>Jun-2025</v>
      </c>
      <c r="J888" s="3">
        <v>45640</v>
      </c>
      <c r="K888" t="s">
        <v>1778</v>
      </c>
      <c r="L888" t="s">
        <v>19</v>
      </c>
      <c r="M888" s="4">
        <v>3.45</v>
      </c>
      <c r="N888" t="s">
        <v>20</v>
      </c>
      <c r="O888">
        <f>Patient_data[[#This Row],[Appointment_Date]]-Patient_data[[#This Row],[Booking_Date]]</f>
        <v>172</v>
      </c>
    </row>
    <row r="889" spans="1:15" x14ac:dyDescent="0.25">
      <c r="A889">
        <v>1073</v>
      </c>
      <c r="B889">
        <v>18</v>
      </c>
      <c r="C889" t="s">
        <v>1445</v>
      </c>
      <c r="D889" t="s">
        <v>1779</v>
      </c>
      <c r="E889" t="s">
        <v>28</v>
      </c>
      <c r="F889" s="3">
        <v>45886</v>
      </c>
      <c r="G889" s="1">
        <f>YEAR(Patient_data[[#This Row],[Appointment_Date]])</f>
        <v>2025</v>
      </c>
      <c r="H889" s="2" t="str">
        <f>TEXT(Patient_data[[#This Row],[Appointment_Date]],"mmmm")</f>
        <v>August</v>
      </c>
      <c r="I889" s="3" t="str">
        <f>TEXT(Patient_data[[#This Row],[Appointment_Date]],"mmm-yyyy")</f>
        <v>Aug-2025</v>
      </c>
      <c r="J889" s="3">
        <v>45833</v>
      </c>
      <c r="K889" t="s">
        <v>1780</v>
      </c>
      <c r="L889" t="s">
        <v>43</v>
      </c>
      <c r="M889" s="4">
        <v>90.93</v>
      </c>
      <c r="N889" t="s">
        <v>24</v>
      </c>
      <c r="O889">
        <f>Patient_data[[#This Row],[Appointment_Date]]-Patient_data[[#This Row],[Booking_Date]]</f>
        <v>53</v>
      </c>
    </row>
    <row r="890" spans="1:15" x14ac:dyDescent="0.25">
      <c r="A890">
        <v>1083</v>
      </c>
      <c r="B890">
        <v>18</v>
      </c>
      <c r="C890" t="s">
        <v>1445</v>
      </c>
      <c r="D890" t="s">
        <v>1781</v>
      </c>
      <c r="E890" t="s">
        <v>17</v>
      </c>
      <c r="F890" s="3">
        <v>45768</v>
      </c>
      <c r="G890" s="1">
        <f>YEAR(Patient_data[[#This Row],[Appointment_Date]])</f>
        <v>2025</v>
      </c>
      <c r="H890" s="2" t="str">
        <f>TEXT(Patient_data[[#This Row],[Appointment_Date]],"mmmm")</f>
        <v>April</v>
      </c>
      <c r="I890" s="3" t="str">
        <f>TEXT(Patient_data[[#This Row],[Appointment_Date]],"mmm-yyyy")</f>
        <v>Apr-2025</v>
      </c>
      <c r="J890" s="3">
        <v>45539</v>
      </c>
      <c r="K890" t="s">
        <v>1782</v>
      </c>
      <c r="L890" t="s">
        <v>19</v>
      </c>
      <c r="M890" s="4">
        <v>411.85</v>
      </c>
      <c r="N890" t="s">
        <v>24</v>
      </c>
      <c r="O890">
        <f>Patient_data[[#This Row],[Appointment_Date]]-Patient_data[[#This Row],[Booking_Date]]</f>
        <v>229</v>
      </c>
    </row>
    <row r="891" spans="1:15" x14ac:dyDescent="0.25">
      <c r="A891">
        <v>1012</v>
      </c>
      <c r="B891">
        <v>18</v>
      </c>
      <c r="C891" t="s">
        <v>1445</v>
      </c>
      <c r="D891" t="s">
        <v>1783</v>
      </c>
      <c r="E891" t="s">
        <v>28</v>
      </c>
      <c r="F891" s="3">
        <v>46041</v>
      </c>
      <c r="G891" s="1">
        <f>YEAR(Patient_data[[#This Row],[Appointment_Date]])</f>
        <v>2026</v>
      </c>
      <c r="H891" s="2" t="str">
        <f>TEXT(Patient_data[[#This Row],[Appointment_Date]],"mmmm")</f>
        <v>January</v>
      </c>
      <c r="I891" s="3" t="str">
        <f>TEXT(Patient_data[[#This Row],[Appointment_Date]],"mmm-yyyy")</f>
        <v>Jan-2026</v>
      </c>
      <c r="J891" s="3">
        <v>45809</v>
      </c>
      <c r="K891" t="s">
        <v>1784</v>
      </c>
      <c r="L891" t="s">
        <v>19</v>
      </c>
      <c r="M891" s="4">
        <v>317.16000000000003</v>
      </c>
      <c r="N891" t="s">
        <v>24</v>
      </c>
      <c r="O891">
        <f>Patient_data[[#This Row],[Appointment_Date]]-Patient_data[[#This Row],[Booking_Date]]</f>
        <v>232</v>
      </c>
    </row>
    <row r="892" spans="1:15" x14ac:dyDescent="0.25">
      <c r="A892">
        <v>1069</v>
      </c>
      <c r="B892">
        <v>18</v>
      </c>
      <c r="C892" t="s">
        <v>1445</v>
      </c>
      <c r="D892" t="s">
        <v>1785</v>
      </c>
      <c r="E892" t="s">
        <v>28</v>
      </c>
      <c r="F892" s="3">
        <v>45947</v>
      </c>
      <c r="G892" s="1">
        <f>YEAR(Patient_data[[#This Row],[Appointment_Date]])</f>
        <v>2025</v>
      </c>
      <c r="H892" s="2" t="str">
        <f>TEXT(Patient_data[[#This Row],[Appointment_Date]],"mmmm")</f>
        <v>October</v>
      </c>
      <c r="I892" s="3" t="str">
        <f>TEXT(Patient_data[[#This Row],[Appointment_Date]],"mmm-yyyy")</f>
        <v>Oct-2025</v>
      </c>
      <c r="J892" s="3">
        <v>45419</v>
      </c>
      <c r="K892" t="s">
        <v>1786</v>
      </c>
      <c r="L892" t="s">
        <v>30</v>
      </c>
      <c r="M892" s="4">
        <v>363.94</v>
      </c>
      <c r="N892" t="s">
        <v>20</v>
      </c>
      <c r="O892">
        <f>Patient_data[[#This Row],[Appointment_Date]]-Patient_data[[#This Row],[Booking_Date]]</f>
        <v>528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7F94A4-BF2D-48AC-929F-126C2F0AD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Queeneth Nnodim</dc:creator>
  <cp:lastModifiedBy>Queeneth Nnodim</cp:lastModifiedBy>
  <dcterms:created xsi:type="dcterms:W3CDTF">2026-09-02T21:28:19Z</dcterms:created>
  <dcterms:modified xsi:type="dcterms:W3CDTF">2026-09-02T21:29:23Z</dcterms:modified>
</cp:coreProperties>
</file>